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45804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45804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45804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45804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45804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13761-2020</t>
        </is>
      </c>
      <c r="B7" s="1" t="n">
        <v>43903</v>
      </c>
      <c r="C7" s="1" t="n">
        <v>45804</v>
      </c>
      <c r="D7" t="inlineStr">
        <is>
          <t>HALLANDS LÄN</t>
        </is>
      </c>
      <c r="E7" t="inlineStr">
        <is>
          <t>HYLTE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HYPERLINK("https://klasma.github.io/Logging_1315/artfynd/A 13761-2020 artfynd.xlsx", "A 13761-2020")</f>
        <v/>
      </c>
      <c r="T7">
        <f>HYPERLINK("https://klasma.github.io/Logging_1315/kartor/A 13761-2020 karta.png", "A 13761-2020")</f>
        <v/>
      </c>
      <c r="V7">
        <f>HYPERLINK("https://klasma.github.io/Logging_1315/klagomål/A 13761-2020 FSC-klagomål.docx", "A 13761-2020")</f>
        <v/>
      </c>
      <c r="W7">
        <f>HYPERLINK("https://klasma.github.io/Logging_1315/klagomålsmail/A 13761-2020 FSC-klagomål mail.docx", "A 13761-2020")</f>
        <v/>
      </c>
      <c r="X7">
        <f>HYPERLINK("https://klasma.github.io/Logging_1315/tillsyn/A 13761-2020 tillsynsbegäran.docx", "A 13761-2020")</f>
        <v/>
      </c>
      <c r="Y7">
        <f>HYPERLINK("https://klasma.github.io/Logging_1315/tillsynsmail/A 13761-2020 tillsynsbegäran mail.docx", "A 13761-2020")</f>
        <v/>
      </c>
    </row>
    <row r="8" ht="15" customHeight="1">
      <c r="A8" t="inlineStr">
        <is>
          <t>A 25537-2020</t>
        </is>
      </c>
      <c r="B8" s="1" t="n">
        <v>43983</v>
      </c>
      <c r="C8" s="1" t="n">
        <v>45804</v>
      </c>
      <c r="D8" t="inlineStr">
        <is>
          <t>HALLANDS LÄN</t>
        </is>
      </c>
      <c r="E8" t="inlineStr">
        <is>
          <t>HYLTE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HYPERLINK("https://klasma.github.io/Logging_1315/artfynd/A 25537-2020 artfynd.xlsx", "A 25537-2020")</f>
        <v/>
      </c>
      <c r="T8">
        <f>HYPERLINK("https://klasma.github.io/Logging_1315/kartor/A 25537-2020 karta.png", "A 25537-2020")</f>
        <v/>
      </c>
      <c r="V8">
        <f>HYPERLINK("https://klasma.github.io/Logging_1315/klagomål/A 25537-2020 FSC-klagomål.docx", "A 25537-2020")</f>
        <v/>
      </c>
      <c r="W8">
        <f>HYPERLINK("https://klasma.github.io/Logging_1315/klagomålsmail/A 25537-2020 FSC-klagomål mail.docx", "A 25537-2020")</f>
        <v/>
      </c>
      <c r="X8">
        <f>HYPERLINK("https://klasma.github.io/Logging_1315/tillsyn/A 25537-2020 tillsynsbegäran.docx", "A 25537-2020")</f>
        <v/>
      </c>
      <c r="Y8">
        <f>HYPERLINK("https://klasma.github.io/Logging_1315/tillsynsmail/A 25537-2020 tillsynsbegäran mail.docx", "A 25537-2020")</f>
        <v/>
      </c>
    </row>
    <row r="9" ht="15" customHeight="1">
      <c r="A9" t="inlineStr">
        <is>
          <t>A 23166-2021</t>
        </is>
      </c>
      <c r="B9" s="1" t="n">
        <v>44332</v>
      </c>
      <c r="C9" s="1" t="n">
        <v>45804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6626-2022</t>
        </is>
      </c>
      <c r="B10" s="1" t="n">
        <v>44601</v>
      </c>
      <c r="C10" s="1" t="n">
        <v>45804</v>
      </c>
      <c r="D10" t="inlineStr">
        <is>
          <t>HALLANDS LÄN</t>
        </is>
      </c>
      <c r="E10" t="inlineStr">
        <is>
          <t>HYLTE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HYPERLINK("https://klasma.github.io/Logging_1315/artfynd/A 6626-2022 artfynd.xlsx", "A 6626-2022")</f>
        <v/>
      </c>
      <c r="T10">
        <f>HYPERLINK("https://klasma.github.io/Logging_1315/kartor/A 6626-2022 karta.png", "A 6626-2022")</f>
        <v/>
      </c>
      <c r="V10">
        <f>HYPERLINK("https://klasma.github.io/Logging_1315/klagomål/A 6626-2022 FSC-klagomål.docx", "A 6626-2022")</f>
        <v/>
      </c>
      <c r="W10">
        <f>HYPERLINK("https://klasma.github.io/Logging_1315/klagomålsmail/A 6626-2022 FSC-klagomål mail.docx", "A 6626-2022")</f>
        <v/>
      </c>
      <c r="X10">
        <f>HYPERLINK("https://klasma.github.io/Logging_1315/tillsyn/A 6626-2022 tillsynsbegäran.docx", "A 6626-2022")</f>
        <v/>
      </c>
      <c r="Y10">
        <f>HYPERLINK("https://klasma.github.io/Logging_1315/tillsynsmail/A 6626-2022 tillsynsbegäran mail.docx", "A 6626-2022")</f>
        <v/>
      </c>
    </row>
    <row r="11" ht="15" customHeight="1">
      <c r="A11" t="inlineStr">
        <is>
          <t>A 28111-2023</t>
        </is>
      </c>
      <c r="B11" s="1" t="n">
        <v>45099</v>
      </c>
      <c r="C11" s="1" t="n">
        <v>45804</v>
      </c>
      <c r="D11" t="inlineStr">
        <is>
          <t>HALLANDS LÄN</t>
        </is>
      </c>
      <c r="E11" t="inlineStr">
        <is>
          <t>HYLTE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HYPERLINK("https://klasma.github.io/Logging_1315/artfynd/A 28111-2023 artfynd.xlsx", "A 28111-2023")</f>
        <v/>
      </c>
      <c r="T11">
        <f>HYPERLINK("https://klasma.github.io/Logging_1315/kartor/A 28111-2023 karta.png", "A 28111-2023")</f>
        <v/>
      </c>
      <c r="V11">
        <f>HYPERLINK("https://klasma.github.io/Logging_1315/klagomål/A 28111-2023 FSC-klagomål.docx", "A 28111-2023")</f>
        <v/>
      </c>
      <c r="W11">
        <f>HYPERLINK("https://klasma.github.io/Logging_1315/klagomålsmail/A 28111-2023 FSC-klagomål mail.docx", "A 28111-2023")</f>
        <v/>
      </c>
      <c r="X11">
        <f>HYPERLINK("https://klasma.github.io/Logging_1315/tillsyn/A 28111-2023 tillsynsbegäran.docx", "A 28111-2023")</f>
        <v/>
      </c>
      <c r="Y11">
        <f>HYPERLINK("https://klasma.github.io/Logging_1315/tillsynsmail/A 28111-2023 tillsynsbegäran mail.docx", "A 28111-2023")</f>
        <v/>
      </c>
      <c r="Z11">
        <f>HYPERLINK("https://klasma.github.io/Logging_1315/fåglar/A 28111-2023 prioriterade fågelarter.docx", "A 28111-2023")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45804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45804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609-2025</t>
        </is>
      </c>
      <c r="B14" s="1" t="n">
        <v>45664</v>
      </c>
      <c r="C14" s="1" t="n">
        <v>45804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18252-2019</t>
        </is>
      </c>
      <c r="B15" s="1" t="n">
        <v>43557</v>
      </c>
      <c r="C15" s="1" t="n">
        <v>45804</v>
      </c>
      <c r="D15" t="inlineStr">
        <is>
          <t>HALLANDS LÄN</t>
        </is>
      </c>
      <c r="E15" t="inlineStr">
        <is>
          <t>HYLTE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18231-2019</t>
        </is>
      </c>
      <c r="B16" s="1" t="n">
        <v>43558</v>
      </c>
      <c r="C16" s="1" t="n">
        <v>45804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18226-2019</t>
        </is>
      </c>
      <c r="B17" s="1" t="n">
        <v>43558</v>
      </c>
      <c r="C17" s="1" t="n">
        <v>45804</v>
      </c>
      <c r="D17" t="inlineStr">
        <is>
          <t>HALLANDS LÄN</t>
        </is>
      </c>
      <c r="E17" t="inlineStr">
        <is>
          <t>HYLTE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18990-2019</t>
        </is>
      </c>
      <c r="B18" s="1" t="n">
        <v>43563</v>
      </c>
      <c r="C18" s="1" t="n">
        <v>45804</v>
      </c>
      <c r="D18" t="inlineStr">
        <is>
          <t>HALLANDS LÄN</t>
        </is>
      </c>
      <c r="E18" t="inlineStr">
        <is>
          <t>HYLTE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19188-2019</t>
        </is>
      </c>
      <c r="B19" s="1" t="n">
        <v>43564</v>
      </c>
      <c r="C19" s="1" t="n">
        <v>45804</v>
      </c>
      <c r="D19" t="inlineStr">
        <is>
          <t>HALLANDS LÄN</t>
        </is>
      </c>
      <c r="E19" t="inlineStr">
        <is>
          <t>HYLTE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19223-2019</t>
        </is>
      </c>
      <c r="B20" s="1" t="n">
        <v>43564</v>
      </c>
      <c r="C20" s="1" t="n">
        <v>45804</v>
      </c>
      <c r="D20" t="inlineStr">
        <is>
          <t>HALLANDS LÄN</t>
        </is>
      </c>
      <c r="E20" t="inlineStr">
        <is>
          <t>HYLTE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19284-2019</t>
        </is>
      </c>
      <c r="B21" s="1" t="n">
        <v>43565</v>
      </c>
      <c r="C21" s="1" t="n">
        <v>45804</v>
      </c>
      <c r="D21" t="inlineStr">
        <is>
          <t>HALLANDS LÄN</t>
        </is>
      </c>
      <c r="E21" t="inlineStr">
        <is>
          <t>HYLTE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19994-2019</t>
        </is>
      </c>
      <c r="B22" s="1" t="n">
        <v>43566</v>
      </c>
      <c r="C22" s="1" t="n">
        <v>45804</v>
      </c>
      <c r="D22" t="inlineStr">
        <is>
          <t>HALLANDS LÄN</t>
        </is>
      </c>
      <c r="E22" t="inlineStr">
        <is>
          <t>HYLTE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20124-2019</t>
        </is>
      </c>
      <c r="B23" s="1" t="n">
        <v>43570</v>
      </c>
      <c r="C23" s="1" t="n">
        <v>45804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20735-2019</t>
        </is>
      </c>
      <c r="B24" s="1" t="n">
        <v>43573</v>
      </c>
      <c r="C24" s="1" t="n">
        <v>45804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21649-2019</t>
        </is>
      </c>
      <c r="B25" s="1" t="n">
        <v>43581</v>
      </c>
      <c r="C25" s="1" t="n">
        <v>45804</v>
      </c>
      <c r="D25" t="inlineStr">
        <is>
          <t>HALLANDS LÄN</t>
        </is>
      </c>
      <c r="E25" t="inlineStr">
        <is>
          <t>HYLTE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21988-2019</t>
        </is>
      </c>
      <c r="B26" s="1" t="n">
        <v>43584</v>
      </c>
      <c r="C26" s="1" t="n">
        <v>45804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22407-2019</t>
        </is>
      </c>
      <c r="B27" s="1" t="n">
        <v>43587</v>
      </c>
      <c r="C27" s="1" t="n">
        <v>45804</v>
      </c>
      <c r="D27" t="inlineStr">
        <is>
          <t>HALLANDS LÄN</t>
        </is>
      </c>
      <c r="E27" t="inlineStr">
        <is>
          <t>HYLTE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26354-2019</t>
        </is>
      </c>
      <c r="B28" s="1" t="n">
        <v>43606</v>
      </c>
      <c r="C28" s="1" t="n">
        <v>45804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26454-2019</t>
        </is>
      </c>
      <c r="B29" s="1" t="n">
        <v>43612</v>
      </c>
      <c r="C29" s="1" t="n">
        <v>45804</v>
      </c>
      <c r="D29" t="inlineStr">
        <is>
          <t>HALLANDS LÄN</t>
        </is>
      </c>
      <c r="E29" t="inlineStr">
        <is>
          <t>HYLTE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26463-2019</t>
        </is>
      </c>
      <c r="B30" s="1" t="n">
        <v>43612</v>
      </c>
      <c r="C30" s="1" t="n">
        <v>45804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26455-2019</t>
        </is>
      </c>
      <c r="B31" s="1" t="n">
        <v>43612</v>
      </c>
      <c r="C31" s="1" t="n">
        <v>45804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28901-2019</t>
        </is>
      </c>
      <c r="B32" s="1" t="n">
        <v>43616</v>
      </c>
      <c r="C32" s="1" t="n">
        <v>45804</v>
      </c>
      <c r="D32" t="inlineStr">
        <is>
          <t>HALLANDS LÄN</t>
        </is>
      </c>
      <c r="E32" t="inlineStr">
        <is>
          <t>HYLTE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27638-2019</t>
        </is>
      </c>
      <c r="B33" s="1" t="n">
        <v>43619</v>
      </c>
      <c r="C33" s="1" t="n">
        <v>45804</v>
      </c>
      <c r="D33" t="inlineStr">
        <is>
          <t>HALLANDS LÄN</t>
        </is>
      </c>
      <c r="E33" t="inlineStr">
        <is>
          <t>HYLTE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27848-2019</t>
        </is>
      </c>
      <c r="B34" s="1" t="n">
        <v>43620</v>
      </c>
      <c r="C34" s="1" t="n">
        <v>45804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27854-2019</t>
        </is>
      </c>
      <c r="B35" s="1" t="n">
        <v>43620</v>
      </c>
      <c r="C35" s="1" t="n">
        <v>45804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34479-2019</t>
        </is>
      </c>
      <c r="B36" s="1" t="n">
        <v>43656</v>
      </c>
      <c r="C36" s="1" t="n">
        <v>45804</v>
      </c>
      <c r="D36" t="inlineStr">
        <is>
          <t>HALLANDS LÄN</t>
        </is>
      </c>
      <c r="E36" t="inlineStr">
        <is>
          <t>HYLTE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34835-2019</t>
        </is>
      </c>
      <c r="B37" s="1" t="n">
        <v>43658</v>
      </c>
      <c r="C37" s="1" t="n">
        <v>45804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35435-2019</t>
        </is>
      </c>
      <c r="B38" s="1" t="n">
        <v>43663</v>
      </c>
      <c r="C38" s="1" t="n">
        <v>45804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35652-2019</t>
        </is>
      </c>
      <c r="B39" s="1" t="n">
        <v>43664</v>
      </c>
      <c r="C39" s="1" t="n">
        <v>45804</v>
      </c>
      <c r="D39" t="inlineStr">
        <is>
          <t>HALLANDS LÄN</t>
        </is>
      </c>
      <c r="E39" t="inlineStr">
        <is>
          <t>HYLTE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35774-2019</t>
        </is>
      </c>
      <c r="B40" s="1" t="n">
        <v>43665</v>
      </c>
      <c r="C40" s="1" t="n">
        <v>45804</v>
      </c>
      <c r="D40" t="inlineStr">
        <is>
          <t>HALLANDS LÄN</t>
        </is>
      </c>
      <c r="E40" t="inlineStr">
        <is>
          <t>HYLTE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35874-2019</t>
        </is>
      </c>
      <c r="B41" s="1" t="n">
        <v>43665</v>
      </c>
      <c r="C41" s="1" t="n">
        <v>45804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36035-2019</t>
        </is>
      </c>
      <c r="B42" s="1" t="n">
        <v>43668</v>
      </c>
      <c r="C42" s="1" t="n">
        <v>45804</v>
      </c>
      <c r="D42" t="inlineStr">
        <is>
          <t>HALLANDS LÄN</t>
        </is>
      </c>
      <c r="E42" t="inlineStr">
        <is>
          <t>HYLTE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36033-2019</t>
        </is>
      </c>
      <c r="B43" s="1" t="n">
        <v>43668</v>
      </c>
      <c r="C43" s="1" t="n">
        <v>45804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36036-2019</t>
        </is>
      </c>
      <c r="B44" s="1" t="n">
        <v>43668</v>
      </c>
      <c r="C44" s="1" t="n">
        <v>45804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36030-2019</t>
        </is>
      </c>
      <c r="B45" s="1" t="n">
        <v>43668</v>
      </c>
      <c r="C45" s="1" t="n">
        <v>45804</v>
      </c>
      <c r="D45" t="inlineStr">
        <is>
          <t>HALLANDS LÄN</t>
        </is>
      </c>
      <c r="E45" t="inlineStr">
        <is>
          <t>HYLTE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37692-2019</t>
        </is>
      </c>
      <c r="B46" s="1" t="n">
        <v>43682</v>
      </c>
      <c r="C46" s="1" t="n">
        <v>45804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37686-2019</t>
        </is>
      </c>
      <c r="B47" s="1" t="n">
        <v>43682</v>
      </c>
      <c r="C47" s="1" t="n">
        <v>45804</v>
      </c>
      <c r="D47" t="inlineStr">
        <is>
          <t>HALLANDS LÄN</t>
        </is>
      </c>
      <c r="E47" t="inlineStr">
        <is>
          <t>HYLTE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37672-2019</t>
        </is>
      </c>
      <c r="B48" s="1" t="n">
        <v>43682</v>
      </c>
      <c r="C48" s="1" t="n">
        <v>45804</v>
      </c>
      <c r="D48" t="inlineStr">
        <is>
          <t>HALLANDS LÄN</t>
        </is>
      </c>
      <c r="E48" t="inlineStr">
        <is>
          <t>HYLTE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37690-2019</t>
        </is>
      </c>
      <c r="B49" s="1" t="n">
        <v>43682</v>
      </c>
      <c r="C49" s="1" t="n">
        <v>45804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37682-2019</t>
        </is>
      </c>
      <c r="B50" s="1" t="n">
        <v>43682</v>
      </c>
      <c r="C50" s="1" t="n">
        <v>45804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38933-2019</t>
        </is>
      </c>
      <c r="B51" s="1" t="n">
        <v>43689</v>
      </c>
      <c r="C51" s="1" t="n">
        <v>45804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42989-2019</t>
        </is>
      </c>
      <c r="B52" s="1" t="n">
        <v>43705</v>
      </c>
      <c r="C52" s="1" t="n">
        <v>45804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43497-2019</t>
        </is>
      </c>
      <c r="B53" s="1" t="n">
        <v>43706</v>
      </c>
      <c r="C53" s="1" t="n">
        <v>45804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45821-2019</t>
        </is>
      </c>
      <c r="B54" s="1" t="n">
        <v>43712</v>
      </c>
      <c r="C54" s="1" t="n">
        <v>45804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46065-2019</t>
        </is>
      </c>
      <c r="B55" s="1" t="n">
        <v>43712</v>
      </c>
      <c r="C55" s="1" t="n">
        <v>45804</v>
      </c>
      <c r="D55" t="inlineStr">
        <is>
          <t>HALLANDS LÄN</t>
        </is>
      </c>
      <c r="E55" t="inlineStr">
        <is>
          <t>HYLTE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46034-2019</t>
        </is>
      </c>
      <c r="B56" s="1" t="n">
        <v>43712</v>
      </c>
      <c r="C56" s="1" t="n">
        <v>45804</v>
      </c>
      <c r="D56" t="inlineStr">
        <is>
          <t>HALLANDS LÄN</t>
        </is>
      </c>
      <c r="E56" t="inlineStr">
        <is>
          <t>HYLTE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50041-2019</t>
        </is>
      </c>
      <c r="B57" s="1" t="n">
        <v>43731</v>
      </c>
      <c r="C57" s="1" t="n">
        <v>45804</v>
      </c>
      <c r="D57" t="inlineStr">
        <is>
          <t>HALLANDS LÄN</t>
        </is>
      </c>
      <c r="E57" t="inlineStr">
        <is>
          <t>HYLTE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50043-2019</t>
        </is>
      </c>
      <c r="B58" s="1" t="n">
        <v>43731</v>
      </c>
      <c r="C58" s="1" t="n">
        <v>45804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49394-2019</t>
        </is>
      </c>
      <c r="B59" s="1" t="n">
        <v>43732</v>
      </c>
      <c r="C59" s="1" t="n">
        <v>45804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49405-2019</t>
        </is>
      </c>
      <c r="B60" s="1" t="n">
        <v>43732</v>
      </c>
      <c r="C60" s="1" t="n">
        <v>45804</v>
      </c>
      <c r="D60" t="inlineStr">
        <is>
          <t>HALLANDS LÄN</t>
        </is>
      </c>
      <c r="E60" t="inlineStr">
        <is>
          <t>HYLTE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52666-2019</t>
        </is>
      </c>
      <c r="B61" s="1" t="n">
        <v>43738</v>
      </c>
      <c r="C61" s="1" t="n">
        <v>45804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51308-2019</t>
        </is>
      </c>
      <c r="B62" s="1" t="n">
        <v>43739</v>
      </c>
      <c r="C62" s="1" t="n">
        <v>45804</v>
      </c>
      <c r="D62" t="inlineStr">
        <is>
          <t>HALLANDS LÄN</t>
        </is>
      </c>
      <c r="E62" t="inlineStr">
        <is>
          <t>HYLTE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51306-2019</t>
        </is>
      </c>
      <c r="B63" s="1" t="n">
        <v>43739</v>
      </c>
      <c r="C63" s="1" t="n">
        <v>45804</v>
      </c>
      <c r="D63" t="inlineStr">
        <is>
          <t>HALLANDS LÄN</t>
        </is>
      </c>
      <c r="E63" t="inlineStr">
        <is>
          <t>HYLTE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51807-2019</t>
        </is>
      </c>
      <c r="B64" s="1" t="n">
        <v>43741</v>
      </c>
      <c r="C64" s="1" t="n">
        <v>45804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52003-2019</t>
        </is>
      </c>
      <c r="B65" s="1" t="n">
        <v>43742</v>
      </c>
      <c r="C65" s="1" t="n">
        <v>45804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51977-2019</t>
        </is>
      </c>
      <c r="B66" s="1" t="n">
        <v>43742</v>
      </c>
      <c r="C66" s="1" t="n">
        <v>45804</v>
      </c>
      <c r="D66" t="inlineStr">
        <is>
          <t>HALLANDS LÄN</t>
        </is>
      </c>
      <c r="E66" t="inlineStr">
        <is>
          <t>HYLTE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52002-2019</t>
        </is>
      </c>
      <c r="B67" s="1" t="n">
        <v>43742</v>
      </c>
      <c r="C67" s="1" t="n">
        <v>45804</v>
      </c>
      <c r="D67" t="inlineStr">
        <is>
          <t>HALLANDS LÄN</t>
        </is>
      </c>
      <c r="E67" t="inlineStr">
        <is>
          <t>HYLTE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57699-2019</t>
        </is>
      </c>
      <c r="B68" s="1" t="n">
        <v>43768</v>
      </c>
      <c r="C68" s="1" t="n">
        <v>45804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58297-2019</t>
        </is>
      </c>
      <c r="B69" s="1" t="n">
        <v>43770</v>
      </c>
      <c r="C69" s="1" t="n">
        <v>45804</v>
      </c>
      <c r="D69" t="inlineStr">
        <is>
          <t>HALLANDS LÄN</t>
        </is>
      </c>
      <c r="E69" t="inlineStr">
        <is>
          <t>HYLTE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58884-2019</t>
        </is>
      </c>
      <c r="B70" s="1" t="n">
        <v>43774</v>
      </c>
      <c r="C70" s="1" t="n">
        <v>45804</v>
      </c>
      <c r="D70" t="inlineStr">
        <is>
          <t>HALLANDS LÄN</t>
        </is>
      </c>
      <c r="E70" t="inlineStr">
        <is>
          <t>HYLTE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59403-2019</t>
        </is>
      </c>
      <c r="B71" s="1" t="n">
        <v>43775</v>
      </c>
      <c r="C71" s="1" t="n">
        <v>45804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59398-2019</t>
        </is>
      </c>
      <c r="B72" s="1" t="n">
        <v>43775</v>
      </c>
      <c r="C72" s="1" t="n">
        <v>45804</v>
      </c>
      <c r="D72" t="inlineStr">
        <is>
          <t>HALLANDS LÄN</t>
        </is>
      </c>
      <c r="E72" t="inlineStr">
        <is>
          <t>HYLTE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59205-2019</t>
        </is>
      </c>
      <c r="B73" s="1" t="n">
        <v>43775</v>
      </c>
      <c r="C73" s="1" t="n">
        <v>45804</v>
      </c>
      <c r="D73" t="inlineStr">
        <is>
          <t>HALLANDS LÄN</t>
        </is>
      </c>
      <c r="E73" t="inlineStr">
        <is>
          <t>HYLTE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63797-2019</t>
        </is>
      </c>
      <c r="B74" s="1" t="n">
        <v>43790</v>
      </c>
      <c r="C74" s="1" t="n">
        <v>45804</v>
      </c>
      <c r="D74" t="inlineStr">
        <is>
          <t>HALLANDS LÄN</t>
        </is>
      </c>
      <c r="E74" t="inlineStr">
        <is>
          <t>HYLTE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64065-2019</t>
        </is>
      </c>
      <c r="B75" s="1" t="n">
        <v>43796</v>
      </c>
      <c r="C75" s="1" t="n">
        <v>45804</v>
      </c>
      <c r="D75" t="inlineStr">
        <is>
          <t>HALLANDS LÄN</t>
        </is>
      </c>
      <c r="E75" t="inlineStr">
        <is>
          <t>HYLTE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65478-2019</t>
        </is>
      </c>
      <c r="B76" s="1" t="n">
        <v>43803</v>
      </c>
      <c r="C76" s="1" t="n">
        <v>45804</v>
      </c>
      <c r="D76" t="inlineStr">
        <is>
          <t>HALLANDS LÄN</t>
        </is>
      </c>
      <c r="E76" t="inlineStr">
        <is>
          <t>HYLTE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368-2020</t>
        </is>
      </c>
      <c r="B77" s="1" t="n">
        <v>43837</v>
      </c>
      <c r="C77" s="1" t="n">
        <v>45804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353-2020</t>
        </is>
      </c>
      <c r="B78" s="1" t="n">
        <v>43837</v>
      </c>
      <c r="C78" s="1" t="n">
        <v>45804</v>
      </c>
      <c r="D78" t="inlineStr">
        <is>
          <t>HALLANDS LÄN</t>
        </is>
      </c>
      <c r="E78" t="inlineStr">
        <is>
          <t>HYLTE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987-2020</t>
        </is>
      </c>
      <c r="B79" s="1" t="n">
        <v>43839</v>
      </c>
      <c r="C79" s="1" t="n">
        <v>45804</v>
      </c>
      <c r="D79" t="inlineStr">
        <is>
          <t>HALLANDS LÄN</t>
        </is>
      </c>
      <c r="E79" t="inlineStr">
        <is>
          <t>HYLTE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984-2020</t>
        </is>
      </c>
      <c r="B80" s="1" t="n">
        <v>43839</v>
      </c>
      <c r="C80" s="1" t="n">
        <v>45804</v>
      </c>
      <c r="D80" t="inlineStr">
        <is>
          <t>HALLANDS LÄN</t>
        </is>
      </c>
      <c r="E80" t="inlineStr">
        <is>
          <t>HYLTE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2208-2020</t>
        </is>
      </c>
      <c r="B81" s="1" t="n">
        <v>43846</v>
      </c>
      <c r="C81" s="1" t="n">
        <v>45804</v>
      </c>
      <c r="D81" t="inlineStr">
        <is>
          <t>HALLANDS LÄN</t>
        </is>
      </c>
      <c r="E81" t="inlineStr">
        <is>
          <t>HYLTE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2759-2020</t>
        </is>
      </c>
      <c r="B82" s="1" t="n">
        <v>43850</v>
      </c>
      <c r="C82" s="1" t="n">
        <v>45804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3305-2020</t>
        </is>
      </c>
      <c r="B83" s="1" t="n">
        <v>43852</v>
      </c>
      <c r="C83" s="1" t="n">
        <v>45804</v>
      </c>
      <c r="D83" t="inlineStr">
        <is>
          <t>HALLANDS LÄN</t>
        </is>
      </c>
      <c r="E83" t="inlineStr">
        <is>
          <t>HYLTE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3898-2020</t>
        </is>
      </c>
      <c r="B84" s="1" t="n">
        <v>43854</v>
      </c>
      <c r="C84" s="1" t="n">
        <v>45804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4413-2020</t>
        </is>
      </c>
      <c r="B85" s="1" t="n">
        <v>43858</v>
      </c>
      <c r="C85" s="1" t="n">
        <v>45804</v>
      </c>
      <c r="D85" t="inlineStr">
        <is>
          <t>HALLANDS LÄN</t>
        </is>
      </c>
      <c r="E85" t="inlineStr">
        <is>
          <t>HYLTE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5519-2020</t>
        </is>
      </c>
      <c r="B86" s="1" t="n">
        <v>43859</v>
      </c>
      <c r="C86" s="1" t="n">
        <v>45804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7207-2020</t>
        </is>
      </c>
      <c r="B87" s="1" t="n">
        <v>43871</v>
      </c>
      <c r="C87" s="1" t="n">
        <v>45804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7408-2020</t>
        </is>
      </c>
      <c r="B88" s="1" t="n">
        <v>43871</v>
      </c>
      <c r="C88" s="1" t="n">
        <v>45804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8337-2020</t>
        </is>
      </c>
      <c r="B89" s="1" t="n">
        <v>43875</v>
      </c>
      <c r="C89" s="1" t="n">
        <v>45804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9417-2020</t>
        </is>
      </c>
      <c r="B90" s="1" t="n">
        <v>43880</v>
      </c>
      <c r="C90" s="1" t="n">
        <v>45804</v>
      </c>
      <c r="D90" t="inlineStr">
        <is>
          <t>HALLANDS LÄN</t>
        </is>
      </c>
      <c r="E90" t="inlineStr">
        <is>
          <t>HYLTE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9489-2020</t>
        </is>
      </c>
      <c r="B91" s="1" t="n">
        <v>43880</v>
      </c>
      <c r="C91" s="1" t="n">
        <v>45804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11349-2020</t>
        </is>
      </c>
      <c r="B92" s="1" t="n">
        <v>43886</v>
      </c>
      <c r="C92" s="1" t="n">
        <v>45804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13152-2020</t>
        </is>
      </c>
      <c r="B93" s="1" t="n">
        <v>43901</v>
      </c>
      <c r="C93" s="1" t="n">
        <v>45804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13114-2020</t>
        </is>
      </c>
      <c r="B94" s="1" t="n">
        <v>43901</v>
      </c>
      <c r="C94" s="1" t="n">
        <v>45804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13150-2020</t>
        </is>
      </c>
      <c r="B95" s="1" t="n">
        <v>43901</v>
      </c>
      <c r="C95" s="1" t="n">
        <v>45804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13642-2020</t>
        </is>
      </c>
      <c r="B96" s="1" t="n">
        <v>43903</v>
      </c>
      <c r="C96" s="1" t="n">
        <v>45804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45804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45804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45804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45804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45804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45804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45804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45804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45804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45804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45804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45804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45804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45804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45804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45804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45804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45804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45804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45804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45804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45804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45804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45804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45804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45804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45804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45804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45804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45804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45804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45804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45804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45804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45804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45804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45804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45804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45804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45804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45804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45804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45804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45804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45804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45804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45804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45804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45804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45804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45804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45804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45804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45804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45804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45804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45804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45804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45804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45804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45804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45804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45804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45804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45804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45804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45804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45804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45804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45804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45804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45804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45804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45804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45804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45804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45804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45804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45804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45804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45804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45804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45804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45804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45804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45804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45804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45804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45804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45804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45804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45804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45804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45804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45804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45804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45804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45804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45804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45804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45804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45804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45804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45804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45804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45804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45804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45804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45804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45804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45804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45804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45804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45804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45804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45804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45804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45804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45804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45804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45804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45804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45804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45804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45804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45804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45804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45804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45804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45804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45804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45804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45804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45804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45804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45804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45804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45804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45804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45804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45804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45804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45804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45804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45804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45804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45804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45804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45804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45804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45804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45804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45804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45804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45804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45804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45804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45804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45804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45804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45804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45804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45804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45804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45804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45804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45804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45804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45804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45804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45804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45804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45804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45804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45804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45804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45804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45804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45804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45804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45804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45804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45804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45804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45804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45804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45804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45804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45804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45804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45804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45804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45804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45804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45804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45804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45804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45804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45804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45804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45804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45804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45804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45804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45804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45804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45804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45804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45804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45804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45804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45804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45804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45804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45804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45804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45804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45804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45804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45804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45804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45804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45804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45804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45804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45804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45804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45804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45804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45804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45804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45804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45804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45804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45804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45804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45804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45804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45804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45804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45804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45804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45804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45804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45804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45804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45804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45804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45804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45804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45804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45804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45804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45804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45804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45804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45804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45804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45804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45804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45804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45804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45804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45804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45804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45804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45804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45804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45804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45804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45804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45804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45804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45804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45804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45804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45804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45804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45804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45804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45804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45804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45804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45804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45804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45804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45804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45804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45804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45804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45804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45804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45804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45804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45804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45804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45804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45804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45804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45804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45804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45804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45804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45804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45804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45804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45804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45804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45804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45804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45804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45804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45804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45804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45804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45804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45804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45804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45804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45804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45804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45804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45804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45804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45804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45804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45804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45804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45804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45804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45804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45804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45804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45804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45804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45804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45804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45804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45804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45804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45804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45804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45804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45804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45804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45804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45804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45804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45804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45804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45804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45804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45804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45804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45804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45804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45804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45804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45804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45804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45804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45804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45804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45804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45804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45804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45804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45804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45804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45804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45804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45804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45804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45804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45804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45804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45804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45804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45804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45804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45804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45804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45804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45804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45804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45804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45804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45804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45804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45804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45804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45804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45804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45804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45804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45804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45804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45804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45804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45804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45804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45804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45804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45804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45804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45804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45804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45804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45804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45804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45804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45804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45804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45804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45804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45804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45804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45804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45804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45804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45804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45804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45804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45804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45804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45804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45804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45804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45804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45804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45804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45804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45804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45804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45804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45804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45804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45804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45804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45804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45804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45804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45804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45804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45804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45804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45804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45804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45804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45804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45804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45804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45804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45804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45804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45804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45804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45804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45804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45804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45804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45804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45804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45804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45804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45804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45804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45804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45804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45804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45804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45804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45804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45804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45804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45804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45804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45804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45804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45804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45804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45804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45804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45804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45804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45804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45804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45804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45804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45804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45804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45804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45804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45804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45804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45804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45804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45804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45804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45804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45804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45804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45804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45804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45804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45804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45804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45804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45804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45804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45804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45804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45804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45804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45804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45804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45804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45804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45804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45804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45804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45804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45804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45804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45804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45804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45804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45804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45804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45804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45804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45804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45804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45804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45804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45804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45804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45804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45804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45804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45804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45804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45804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45804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45804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45804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45804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45804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45804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45804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45804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45804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45804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45804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45804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45804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45804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45804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45804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45804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45804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45804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45804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45804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45804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45804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45804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45804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45804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45804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45804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45804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45804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45804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45804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45804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45804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45804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45804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45804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45804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45804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45804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45804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45804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45804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45804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45804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45804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45804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45804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45804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45804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45804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45804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45804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45804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45804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45804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45804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45804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45804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45804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45804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45804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45804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45804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45804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45804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45804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45804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45804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45804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45804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45804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45804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45804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45804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45804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45804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45804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45804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45804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45804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45804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45804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45804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45804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45804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45804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45804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45804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45804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45804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45804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45804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45804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45804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45804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45804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45804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45804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45804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45804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45804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45804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45804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45804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45804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45804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45804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45804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45804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45804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45804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45804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45804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45804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45804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45804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45804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45804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45804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45804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45804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45804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45804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45804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45804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45804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45804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45804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45804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45804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45804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45804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45804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45804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45804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45804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45804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45804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45804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45804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45804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45804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45804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45804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45804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45804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45804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45804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45804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45804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45804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45804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45804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45804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45804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45804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45804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45804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45804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45804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45804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45804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45804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45804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45804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45804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45804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45804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45804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45804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45804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45804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45804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45804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45804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45804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45804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45804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45804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45804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45804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45804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45804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45804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45804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45804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45804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45804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45804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45804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45804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45804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45804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45804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45804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45804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45804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45804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45804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45804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45804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45804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45804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45804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45804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45804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45804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45804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45804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45804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45804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45804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45804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45804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45804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45804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45804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45804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45804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45804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45804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45804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45804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45804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45804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45804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45804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45804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45804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45804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45804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45804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45804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45804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45804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45804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45804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45804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45804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45804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45804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45804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45804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45804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45804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45804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45804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45804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45804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45804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45804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45804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45804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45804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45804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45804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45804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45804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45804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45804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45804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45804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45804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45804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45804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45804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45804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45804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45804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45804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45804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45804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45804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45804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45804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45804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45804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45804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45804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45804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45804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45804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45804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45804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45804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45804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45804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45804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45804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45804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45804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45804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45804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45804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45804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45804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45804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45804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45804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45804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45804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45804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45804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45804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45804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45804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45804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45804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45804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45804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45804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45804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45804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45804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45804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45804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45804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45804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45804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45804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45804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45804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45804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45804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45804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45804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45804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45804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45804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45804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45804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45804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45804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45804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45804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45804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45804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45804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45804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45804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45804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45804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45804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45804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45804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45804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45804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45804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45804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45804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45804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45804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45804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45804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45804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45804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45804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45804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45804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45804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45804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45804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45804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45804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45804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45804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45804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45804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45804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45804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45804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45804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45804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45804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45804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45804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45804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45804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45804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45804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45804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45804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45804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45804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45804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45804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45804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45804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45804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45804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45804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45804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45804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45804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45804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45804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45804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45804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45804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45804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45804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45804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45804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45804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45804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45804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45804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45804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45804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45804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45804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45804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45804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45804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45804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45804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45804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45804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45804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45804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45804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45804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45804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45804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45804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45804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45804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45804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45804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45804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45804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45804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45804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45804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45804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45804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45804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45804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45804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45804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45804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45804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45804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45804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45804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45804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45804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45804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45804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45804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45804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45804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45804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45804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45804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45804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45804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45804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45804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45804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45804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45804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45804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45804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45804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45804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45804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45804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45804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45804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45804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45804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45804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45804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45804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45804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45804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45804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45804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45804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45804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45804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45804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45804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45804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45804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45804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45804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45804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45804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45804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45804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45804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45804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45804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45804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45804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45804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45804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45804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45804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45804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45804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45804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45804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45804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45804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45804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45804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45804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45804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45804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45804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45804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45804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45804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45804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45804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45804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45804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45804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22369-2025</t>
        </is>
      </c>
      <c r="B1162" s="1" t="n">
        <v>45786</v>
      </c>
      <c r="C1162" s="1" t="n">
        <v>45804</v>
      </c>
      <c r="D1162" t="inlineStr">
        <is>
          <t>HALLANDS LÄN</t>
        </is>
      </c>
      <c r="E1162" t="inlineStr">
        <is>
          <t>HYLTE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22323-2025</t>
        </is>
      </c>
      <c r="B1163" s="1" t="n">
        <v>45786</v>
      </c>
      <c r="C1163" s="1" t="n">
        <v>45804</v>
      </c>
      <c r="D1163" t="inlineStr">
        <is>
          <t>HALLANDS LÄN</t>
        </is>
      </c>
      <c r="E1163" t="inlineStr">
        <is>
          <t>HYLTE</t>
        </is>
      </c>
      <c r="F1163" t="inlineStr">
        <is>
          <t>Kyrkan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22433-2025</t>
        </is>
      </c>
      <c r="B1164" s="1" t="n">
        <v>45786</v>
      </c>
      <c r="C1164" s="1" t="n">
        <v>45804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45804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45804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45804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45804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45804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45804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45804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45804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45804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25560-2025</t>
        </is>
      </c>
      <c r="B1174" s="1" t="n">
        <v>45803</v>
      </c>
      <c r="C1174" s="1" t="n">
        <v>45804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2025-05-27T17:46:30Z</dcterms:created>
  <dcterms:modified xmlns:dcterms="http://purl.org/dc/terms/" xmlns:xsi="http://www.w3.org/2001/XMLSchema-instance" xsi:type="dcterms:W3CDTF">2025-05-27T17:46:31Z</dcterms:modified>
</cp:coreProperties>
</file>