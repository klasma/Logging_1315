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46236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46236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46236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46236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46236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46236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46236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46236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46236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46236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46236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43634-2023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45186</v>
      </c>
      <c r="E22" s="1" t="n">
        <v>46236</v>
      </c>
      <c r="F22" t="inlineStr">
        <is>
          <t>HALLANDS LÄN</t>
        </is>
      </c>
      <c r="G22" t="inlineStr">
        <is>
          <t>HYLTE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Åkerkulla</t>
        </is>
      </c>
      <c r="W22">
        <f>HYPERLINK("https://klasma.github.io/Logging_1315/artfynd/A 43634-2023 artfynd.xlsx", "A 43634-2023")</f>
        <v/>
      </c>
      <c r="X22">
        <f>HYPERLINK("https://klasma.github.io/Logging_1315/kartor/A 43634-2023 karta.png", "A 43634-2023")</f>
        <v/>
      </c>
      <c r="Y22">
        <f>HYPERLINK("https://klasma.github.io/Logging_1315/kartor_geotiff/A 43634-2023 georefererad karta.tif", "A 43634-2023")</f>
        <v/>
      </c>
      <c r="AA22">
        <f>HYPERLINK("https://klasma.github.io/Logging_1315/klagomål/A 43634-2023 FSC-klagomål.docx", "A 43634-2023")</f>
        <v/>
      </c>
      <c r="AB22">
        <f>HYPERLINK("https://klasma.github.io/Logging_1315/klagomålsmail/A 43634-2023 FSC-klagomål mail.docx", "A 43634-2023")</f>
        <v/>
      </c>
      <c r="AC22">
        <f>HYPERLINK("https://klasma.github.io/Logging_1315/tillsyn/A 43634-2023 tillsynsbegäran.docx", "A 43634-2023")</f>
        <v/>
      </c>
      <c r="AD22">
        <f>HYPERLINK("https://klasma.github.io/Logging_1315/tillsynsmail/A 43634-2023 tillsynsbegäran mail.docx", "A 43634-2023")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46236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46236</v>
      </c>
      <c r="F24" t="inlineStr">
        <is>
          <t>HALLANDS LÄN</t>
        </is>
      </c>
      <c r="G24" t="inlineStr">
        <is>
          <t>HYLTE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HYPERLINK("https://klasma.github.io/Logging_1315/artfynd/A 57230-2023 artfynd.xlsx", "A 57230-2023")</f>
        <v/>
      </c>
      <c r="X24">
        <f>HYPERLINK("https://klasma.github.io/Logging_1315/kartor/A 57230-2023 karta.png", "A 57230-2023")</f>
        <v/>
      </c>
      <c r="Y24">
        <f>HYPERLINK("https://klasma.github.io/Logging_1315/kartor_geotiff/A 57230-2023 georefererad karta.tif", "A 57230-2023")</f>
        <v/>
      </c>
      <c r="AA24">
        <f>HYPERLINK("https://klasma.github.io/Logging_1315/klagomål/A 57230-2023 FSC-klagomål.docx", "A 57230-2023")</f>
        <v/>
      </c>
      <c r="AB24">
        <f>HYPERLINK("https://klasma.github.io/Logging_1315/klagomålsmail/A 57230-2023 FSC-klagomål mail.docx", "A 57230-2023")</f>
        <v/>
      </c>
      <c r="AC24">
        <f>HYPERLINK("https://klasma.github.io/Logging_1315/tillsyn/A 57230-2023 tillsynsbegäran.docx", "A 57230-2023")</f>
        <v/>
      </c>
      <c r="AD24">
        <f>HYPERLINK("https://klasma.github.io/Logging_1315/tillsynsmail/A 57230-2023 tillsynsbegäran mail.docx", "A 57230-2023")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46236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46236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46236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46236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46236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57134-2023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46236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Vildris</t>
        </is>
      </c>
      <c r="W30">
        <f>HYPERLINK("https://klasma.github.io/Logging_1315/artfynd/A 57134-2023 artfynd.xlsx", "A 57134-2023")</f>
        <v/>
      </c>
      <c r="X30">
        <f>HYPERLINK("https://klasma.github.io/Logging_1315/kartor/A 57134-2023 karta.png", "A 57134-2023")</f>
        <v/>
      </c>
      <c r="Y30">
        <f>HYPERLINK("https://klasma.github.io/Logging_1315/kartor_geotiff/A 57134-2023 georefererad karta.tif", "A 57134-2023")</f>
        <v/>
      </c>
      <c r="AA30">
        <f>HYPERLINK("https://klasma.github.io/Logging_1315/klagomål/A 57134-2023 FSC-klagomål.docx", "A 57134-2023")</f>
        <v/>
      </c>
      <c r="AB30">
        <f>HYPERLINK("https://klasma.github.io/Logging_1315/klagomålsmail/A 57134-2023 FSC-klagomål mail.docx", "A 57134-2023")</f>
        <v/>
      </c>
      <c r="AC30">
        <f>HYPERLINK("https://klasma.github.io/Logging_1315/tillsyn/A 57134-2023 tillsynsbegäran.docx", "A 57134-2023")</f>
        <v/>
      </c>
      <c r="AD30">
        <f>HYPERLINK("https://klasma.github.io/Logging_1315/tillsynsmail/A 57134-2023 tillsynsbegäran mail.docx", "A 57134-2023")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46236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46236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46236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46236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46236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46236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46236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46236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46236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46236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46236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46236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46236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46236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46236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46236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46236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46236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46236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46236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46236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46236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46236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46236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46236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46236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46236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46236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46236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46236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46236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46236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46236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46236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46236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46236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46236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46236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46236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46236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46236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46236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46236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46236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46236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46236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46236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46236</v>
      </c>
      <c r="F78" t="inlineStr">
        <is>
          <t>HALLANDS LÄN</t>
        </is>
      </c>
      <c r="G78" t="inlineStr">
        <is>
          <t>HYLTE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46236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46236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44995</v>
      </c>
      <c r="E81" s="1" t="n">
        <v>46236</v>
      </c>
      <c r="F81" t="inlineStr">
        <is>
          <t>HALLANDS LÄN</t>
        </is>
      </c>
      <c r="G81" t="inlineStr">
        <is>
          <t>HYLTE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46236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46236</v>
      </c>
      <c r="F83" t="inlineStr">
        <is>
          <t>HALLANDS LÄN</t>
        </is>
      </c>
      <c r="G83" t="inlineStr">
        <is>
          <t>HYLTE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44634</v>
      </c>
      <c r="E84" s="1" t="n">
        <v>46236</v>
      </c>
      <c r="F84" t="inlineStr">
        <is>
          <t>HALLANDS LÄN</t>
        </is>
      </c>
      <c r="G84" t="inlineStr">
        <is>
          <t>HYLTE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46236</v>
      </c>
      <c r="F85" t="inlineStr">
        <is>
          <t>HALLANDS LÄN</t>
        </is>
      </c>
      <c r="G85" t="inlineStr">
        <is>
          <t>HYLTE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46236</v>
      </c>
      <c r="F86" t="inlineStr">
        <is>
          <t>HALLANDS LÄN</t>
        </is>
      </c>
      <c r="G86" t="inlineStr">
        <is>
          <t>HYLTE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46236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46236</v>
      </c>
      <c r="F88" t="inlineStr">
        <is>
          <t>HALLANDS LÄN</t>
        </is>
      </c>
      <c r="G88" t="inlineStr">
        <is>
          <t>HYLTE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46236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44801</v>
      </c>
      <c r="E90" s="1" t="n">
        <v>46236</v>
      </c>
      <c r="F90" t="inlineStr">
        <is>
          <t>HALLANDS LÄN</t>
        </is>
      </c>
      <c r="G90" t="inlineStr">
        <is>
          <t>HYLTE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46236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15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46236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44575</v>
      </c>
      <c r="E93" s="1" t="n">
        <v>46236</v>
      </c>
      <c r="F93" t="inlineStr">
        <is>
          <t>HALLANDS LÄN</t>
        </is>
      </c>
      <c r="G93" t="inlineStr">
        <is>
          <t>HYLTE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46236</v>
      </c>
      <c r="F94" t="inlineStr">
        <is>
          <t>HALLANDS LÄN</t>
        </is>
      </c>
      <c r="G94" t="inlineStr">
        <is>
          <t>HYLTE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46236</v>
      </c>
      <c r="F95" t="inlineStr">
        <is>
          <t>HALLANDS LÄN</t>
        </is>
      </c>
      <c r="G95" t="inlineStr">
        <is>
          <t>HYLTE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46236</v>
      </c>
      <c r="F96" t="inlineStr">
        <is>
          <t>HALLANDS LÄN</t>
        </is>
      </c>
      <c r="G96" t="inlineStr">
        <is>
          <t>HYLTE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46236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45572</v>
      </c>
      <c r="E98" s="1" t="n">
        <v>46236</v>
      </c>
      <c r="F98" t="inlineStr">
        <is>
          <t>HALLANDS LÄN</t>
        </is>
      </c>
      <c r="G98" t="inlineStr">
        <is>
          <t>HYLTE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44644</v>
      </c>
      <c r="E99" s="1" t="n">
        <v>46236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67290-2021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46236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44500</v>
      </c>
      <c r="E101" s="1" t="n">
        <v>46236</v>
      </c>
      <c r="F101" t="inlineStr">
        <is>
          <t>HALLANDS LÄN</t>
        </is>
      </c>
      <c r="G101" t="inlineStr">
        <is>
          <t>HYLTE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44950</v>
      </c>
      <c r="E102" s="1" t="n">
        <v>46236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45299</v>
      </c>
      <c r="E103" s="1" t="n">
        <v>46236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47822-2021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46236</v>
      </c>
      <c r="F104" t="inlineStr">
        <is>
          <t>HALLANDS LÄN</t>
        </is>
      </c>
      <c r="G104" t="inlineStr">
        <is>
          <t>HYLTE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46236</v>
      </c>
      <c r="F105" t="inlineStr">
        <is>
          <t>HALLANDS LÄN</t>
        </is>
      </c>
      <c r="G105" t="inlineStr">
        <is>
          <t>HYLTE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44705</v>
      </c>
      <c r="E106" s="1" t="n">
        <v>46236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44659</v>
      </c>
      <c r="E107" s="1" t="n">
        <v>46236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15328-2022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44659</v>
      </c>
      <c r="E108" s="1" t="n">
        <v>46236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46236</v>
      </c>
      <c r="F109" t="inlineStr">
        <is>
          <t>HALLANDS LÄN</t>
        </is>
      </c>
      <c r="G109" t="inlineStr">
        <is>
          <t>HYLTE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44757</v>
      </c>
      <c r="E110" s="1" t="n">
        <v>46236</v>
      </c>
      <c r="F110" t="inlineStr">
        <is>
          <t>HALLANDS LÄN</t>
        </is>
      </c>
      <c r="G110" t="inlineStr">
        <is>
          <t>HYLTE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46236</v>
      </c>
      <c r="F111" t="inlineStr">
        <is>
          <t>HALLANDS LÄN</t>
        </is>
      </c>
      <c r="G111" t="inlineStr">
        <is>
          <t>HYLTE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46236</v>
      </c>
      <c r="F112" t="inlineStr">
        <is>
          <t>HALLANDS LÄN</t>
        </is>
      </c>
      <c r="G112" t="inlineStr">
        <is>
          <t>HYLTE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46236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46236</v>
      </c>
      <c r="F114" t="inlineStr">
        <is>
          <t>HALLANDS LÄN</t>
        </is>
      </c>
      <c r="G114" t="inlineStr">
        <is>
          <t>HYLTE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46236</v>
      </c>
      <c r="F115" t="inlineStr">
        <is>
          <t>HALLANDS LÄN</t>
        </is>
      </c>
      <c r="G115" t="inlineStr">
        <is>
          <t>HYLTE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46236</v>
      </c>
      <c r="F116" t="inlineStr">
        <is>
          <t>HALLANDS LÄN</t>
        </is>
      </c>
      <c r="G116" t="inlineStr">
        <is>
          <t>HYLTE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46236</v>
      </c>
      <c r="F117" t="inlineStr">
        <is>
          <t>HALLANDS LÄN</t>
        </is>
      </c>
      <c r="G117" t="inlineStr">
        <is>
          <t>HYLTE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44477</v>
      </c>
      <c r="E118" s="1" t="n">
        <v>46236</v>
      </c>
      <c r="F118" t="inlineStr">
        <is>
          <t>HALLANDS LÄN</t>
        </is>
      </c>
      <c r="G118" t="inlineStr">
        <is>
          <t>HYLTE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46236</v>
      </c>
      <c r="F119" t="inlineStr">
        <is>
          <t>HALLANDS LÄN</t>
        </is>
      </c>
      <c r="G119" t="inlineStr">
        <is>
          <t>HYLTE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46236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44834</v>
      </c>
      <c r="E121" s="1" t="n">
        <v>46236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45327</v>
      </c>
      <c r="E122" s="1" t="n">
        <v>46236</v>
      </c>
      <c r="F122" t="inlineStr">
        <is>
          <t>HALLANDS LÄN</t>
        </is>
      </c>
      <c r="G122" t="inlineStr">
        <is>
          <t>HYLTE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33613-2023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45132</v>
      </c>
      <c r="E123" s="1" t="n">
        <v>46236</v>
      </c>
      <c r="F123" t="inlineStr">
        <is>
          <t>HALLANDS LÄN</t>
        </is>
      </c>
      <c r="G123" t="inlineStr">
        <is>
          <t>HYLTE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46236</v>
      </c>
      <c r="F124" t="inlineStr">
        <is>
          <t>HALLANDS LÄN</t>
        </is>
      </c>
      <c r="G124" t="inlineStr">
        <is>
          <t>HYLTE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46236</v>
      </c>
      <c r="F125" t="inlineStr">
        <is>
          <t>HALLANDS LÄN</t>
        </is>
      </c>
      <c r="G125" t="inlineStr">
        <is>
          <t>HYLTE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46236</v>
      </c>
      <c r="F126" t="inlineStr">
        <is>
          <t>HALLANDS LÄN</t>
        </is>
      </c>
      <c r="G126" t="inlineStr">
        <is>
          <t>HYLTE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45299</v>
      </c>
      <c r="E127" s="1" t="n">
        <v>46236</v>
      </c>
      <c r="F127" t="inlineStr">
        <is>
          <t>HALLANDS LÄN</t>
        </is>
      </c>
      <c r="G127" t="inlineStr">
        <is>
          <t>HYLTE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46236</v>
      </c>
      <c r="F128" t="inlineStr">
        <is>
          <t>HALLANDS LÄN</t>
        </is>
      </c>
      <c r="G128" t="inlineStr">
        <is>
          <t>HYLTE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46236</v>
      </c>
      <c r="F129" t="inlineStr">
        <is>
          <t>HALLANDS LÄN</t>
        </is>
      </c>
      <c r="G129" t="inlineStr">
        <is>
          <t>HYLTE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46236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46236</v>
      </c>
      <c r="F131" t="inlineStr">
        <is>
          <t>HALLANDS LÄN</t>
        </is>
      </c>
      <c r="G131" t="inlineStr">
        <is>
          <t>HYLTE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46236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46236</v>
      </c>
      <c r="F133" t="inlineStr">
        <is>
          <t>HALLANDS LÄN</t>
        </is>
      </c>
      <c r="G133" t="inlineStr">
        <is>
          <t>HYLTE</t>
        </is>
      </c>
      <c r="I133" t="n">
        <v>11.6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46236</v>
      </c>
      <c r="F134" t="inlineStr">
        <is>
          <t>HALLANDS LÄN</t>
        </is>
      </c>
      <c r="G134" t="inlineStr">
        <is>
          <t>HYLTE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45429</v>
      </c>
      <c r="E135" s="1" t="n">
        <v>46236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46236</v>
      </c>
      <c r="F136" t="inlineStr">
        <is>
          <t>HALLANDS LÄN</t>
        </is>
      </c>
      <c r="G136" t="inlineStr">
        <is>
          <t>HYLTE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49505-2021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44454</v>
      </c>
      <c r="E137" s="1" t="n">
        <v>46236</v>
      </c>
      <c r="F137" t="inlineStr">
        <is>
          <t>HALLANDS LÄN</t>
        </is>
      </c>
      <c r="G137" t="inlineStr">
        <is>
          <t>HYLTE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46236</v>
      </c>
      <c r="F138" t="inlineStr">
        <is>
          <t>HALLANDS LÄN</t>
        </is>
      </c>
      <c r="G138" t="inlineStr">
        <is>
          <t>HYLTE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46236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46236</v>
      </c>
      <c r="F140" t="inlineStr">
        <is>
          <t>HALLANDS LÄN</t>
        </is>
      </c>
      <c r="G140" t="inlineStr">
        <is>
          <t>HYLTE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58841-2021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46236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46236</v>
      </c>
      <c r="F142" t="inlineStr">
        <is>
          <t>HALLANDS LÄN</t>
        </is>
      </c>
      <c r="G142" t="inlineStr">
        <is>
          <t>HYLTE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40870-2021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44421</v>
      </c>
      <c r="E143" s="1" t="n">
        <v>46236</v>
      </c>
      <c r="F143" t="inlineStr">
        <is>
          <t>HALLANDS LÄN</t>
        </is>
      </c>
      <c r="G143" t="inlineStr">
        <is>
          <t>HYLTE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46236</v>
      </c>
      <c r="F144" t="inlineStr">
        <is>
          <t>HALLANDS LÄN</t>
        </is>
      </c>
      <c r="G144" t="inlineStr">
        <is>
          <t>HYLTE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46236</v>
      </c>
      <c r="F145" t="inlineStr">
        <is>
          <t>HALLANDS LÄN</t>
        </is>
      </c>
      <c r="G145" t="inlineStr">
        <is>
          <t>HYLTE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46236</v>
      </c>
      <c r="F146" t="inlineStr">
        <is>
          <t>HALLANDS LÄN</t>
        </is>
      </c>
      <c r="G146" t="inlineStr">
        <is>
          <t>HYLTE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45400</v>
      </c>
      <c r="E147" s="1" t="n">
        <v>46236</v>
      </c>
      <c r="F147" t="inlineStr">
        <is>
          <t>HALLANDS LÄN</t>
        </is>
      </c>
      <c r="G147" t="inlineStr">
        <is>
          <t>HYLTE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46236</v>
      </c>
      <c r="F148" t="inlineStr">
        <is>
          <t>HALLANDS LÄN</t>
        </is>
      </c>
      <c r="G148" t="inlineStr">
        <is>
          <t>HYLTE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46236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46236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46236</v>
      </c>
      <c r="F151" t="inlineStr">
        <is>
          <t>HALLANDS LÄN</t>
        </is>
      </c>
      <c r="G151" t="inlineStr">
        <is>
          <t>HYLTE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46236</v>
      </c>
      <c r="F152" t="inlineStr">
        <is>
          <t>HALLANDS LÄN</t>
        </is>
      </c>
      <c r="G152" t="inlineStr">
        <is>
          <t>HYLTE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46236</v>
      </c>
      <c r="F153" t="inlineStr">
        <is>
          <t>HALLANDS LÄN</t>
        </is>
      </c>
      <c r="G153" t="inlineStr">
        <is>
          <t>HYLTE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45382</v>
      </c>
      <c r="E154" s="1" t="n">
        <v>46236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46236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46236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46236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46236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45456</v>
      </c>
      <c r="E159" s="1" t="n">
        <v>46236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46236</v>
      </c>
      <c r="F160" t="inlineStr">
        <is>
          <t>HALLANDS LÄN</t>
        </is>
      </c>
      <c r="G160" t="inlineStr">
        <is>
          <t>HYLTE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46236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46236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46236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46236</v>
      </c>
      <c r="F164" t="inlineStr">
        <is>
          <t>HALLANDS LÄN</t>
        </is>
      </c>
      <c r="G164" t="inlineStr">
        <is>
          <t>HYLTE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46236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46236</v>
      </c>
      <c r="F166" t="inlineStr">
        <is>
          <t>HALLANDS LÄN</t>
        </is>
      </c>
      <c r="G166" t="inlineStr">
        <is>
          <t>HYLTE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46236</v>
      </c>
      <c r="F167" t="inlineStr">
        <is>
          <t>HALLANDS LÄN</t>
        </is>
      </c>
      <c r="G167" t="inlineStr">
        <is>
          <t>HYLTE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46236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46236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45505</v>
      </c>
      <c r="E170" s="1" t="n">
        <v>46236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46236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44719</v>
      </c>
      <c r="E172" s="1" t="n">
        <v>46236</v>
      </c>
      <c r="F172" t="inlineStr">
        <is>
          <t>HALLANDS LÄN</t>
        </is>
      </c>
      <c r="G172" t="inlineStr">
        <is>
          <t>HYLTE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46236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46236</v>
      </c>
      <c r="F174" t="inlineStr">
        <is>
          <t>HALLANDS LÄN</t>
        </is>
      </c>
      <c r="G174" t="inlineStr">
        <is>
          <t>HYLTE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46236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46236</v>
      </c>
      <c r="F176" t="inlineStr">
        <is>
          <t>HALLANDS LÄN</t>
        </is>
      </c>
      <c r="G176" t="inlineStr">
        <is>
          <t>HYLTE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46236</v>
      </c>
      <c r="F177" t="inlineStr">
        <is>
          <t>HALLANDS LÄN</t>
        </is>
      </c>
      <c r="G177" t="inlineStr">
        <is>
          <t>HYLTE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46236</v>
      </c>
      <c r="F178" t="inlineStr">
        <is>
          <t>HALLANDS LÄN</t>
        </is>
      </c>
      <c r="G178" t="inlineStr">
        <is>
          <t>HYLTE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46236</v>
      </c>
      <c r="F179" t="inlineStr">
        <is>
          <t>HALLANDS LÄN</t>
        </is>
      </c>
      <c r="G179" t="inlineStr">
        <is>
          <t>HYLTE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46236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46236</v>
      </c>
      <c r="F181" t="inlineStr">
        <is>
          <t>HALLANDS LÄN</t>
        </is>
      </c>
      <c r="G181" t="inlineStr">
        <is>
          <t>HYLTE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46236</v>
      </c>
      <c r="F182" t="inlineStr">
        <is>
          <t>HALLANDS LÄN</t>
        </is>
      </c>
      <c r="G182" t="inlineStr">
        <is>
          <t>HYLTE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44714</v>
      </c>
      <c r="E183" s="1" t="n">
        <v>46236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46236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46236</v>
      </c>
      <c r="F185" t="inlineStr">
        <is>
          <t>HALLANDS LÄN</t>
        </is>
      </c>
      <c r="G185" t="inlineStr">
        <is>
          <t>HYLTE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46236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46236</v>
      </c>
      <c r="F187" t="inlineStr">
        <is>
          <t>HALLANDS LÄN</t>
        </is>
      </c>
      <c r="G187" t="inlineStr">
        <is>
          <t>HYLTE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46236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46692-2023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45198</v>
      </c>
      <c r="E189" s="1" t="n">
        <v>46236</v>
      </c>
      <c r="F189" t="inlineStr">
        <is>
          <t>HALLANDS LÄN</t>
        </is>
      </c>
      <c r="G189" t="inlineStr">
        <is>
          <t>HYLTE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46236</v>
      </c>
      <c r="F190" t="inlineStr">
        <is>
          <t>HALLANDS LÄN</t>
        </is>
      </c>
      <c r="G190" t="inlineStr">
        <is>
          <t>HYLTE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46236</v>
      </c>
      <c r="F191" t="inlineStr">
        <is>
          <t>HALLANDS LÄN</t>
        </is>
      </c>
      <c r="G191" t="inlineStr">
        <is>
          <t>HYLTE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46236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46236</v>
      </c>
      <c r="F193" t="inlineStr">
        <is>
          <t>HALLANDS LÄN</t>
        </is>
      </c>
      <c r="G193" t="inlineStr">
        <is>
          <t>HYLTE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46236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46236</v>
      </c>
      <c r="F195" t="inlineStr">
        <is>
          <t>HALLANDS LÄN</t>
        </is>
      </c>
      <c r="G195" t="inlineStr">
        <is>
          <t>HYLTE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46236</v>
      </c>
      <c r="F196" t="inlineStr">
        <is>
          <t>HALLANDS LÄN</t>
        </is>
      </c>
      <c r="G196" t="inlineStr">
        <is>
          <t>HYLTE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45580</v>
      </c>
      <c r="E197" s="1" t="n">
        <v>46236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59494-2022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46236</v>
      </c>
      <c r="F198" t="inlineStr">
        <is>
          <t>HALLANDS LÄN</t>
        </is>
      </c>
      <c r="G198" t="inlineStr">
        <is>
          <t>HYLTE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45441</v>
      </c>
      <c r="E199" s="1" t="n">
        <v>46236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46236</v>
      </c>
      <c r="F200" t="inlineStr">
        <is>
          <t>HALLANDS LÄN</t>
        </is>
      </c>
      <c r="G200" t="inlineStr">
        <is>
          <t>HYLTE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44926</v>
      </c>
      <c r="E201" s="1" t="n">
        <v>46236</v>
      </c>
      <c r="F201" t="inlineStr">
        <is>
          <t>HALLANDS LÄN</t>
        </is>
      </c>
      <c r="G201" t="inlineStr">
        <is>
          <t>HYLTE</t>
        </is>
      </c>
      <c r="H201" t="inlineStr">
        <is>
          <t>Kyrkan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44756</v>
      </c>
      <c r="E202" s="1" t="n">
        <v>46236</v>
      </c>
      <c r="F202" t="inlineStr">
        <is>
          <t>HALLANDS LÄN</t>
        </is>
      </c>
      <c r="G202" t="inlineStr">
        <is>
          <t>HYLTE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46236</v>
      </c>
      <c r="F203" t="inlineStr">
        <is>
          <t>HALLANDS LÄN</t>
        </is>
      </c>
      <c r="G203" t="inlineStr">
        <is>
          <t>HYLTE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46236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46236</v>
      </c>
      <c r="F205" t="inlineStr">
        <is>
          <t>HALLANDS LÄN</t>
        </is>
      </c>
      <c r="G205" t="inlineStr">
        <is>
          <t>HYLTE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46236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46236</v>
      </c>
      <c r="F207" t="inlineStr">
        <is>
          <t>HALLANDS LÄN</t>
        </is>
      </c>
      <c r="G207" t="inlineStr">
        <is>
          <t>HYLTE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46236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46236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46236</v>
      </c>
      <c r="F210" t="inlineStr">
        <is>
          <t>HALLANDS LÄN</t>
        </is>
      </c>
      <c r="G210" t="inlineStr">
        <is>
          <t>HYLTE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46236</v>
      </c>
      <c r="F211" t="inlineStr">
        <is>
          <t>HALLANDS LÄN</t>
        </is>
      </c>
      <c r="G211" t="inlineStr">
        <is>
          <t>HYLTE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46236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46236</v>
      </c>
      <c r="F213" t="inlineStr">
        <is>
          <t>HALLANDS LÄN</t>
        </is>
      </c>
      <c r="G213" t="inlineStr">
        <is>
          <t>HYLTE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46236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46236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46236</v>
      </c>
      <c r="F216" t="inlineStr">
        <is>
          <t>HALLANDS LÄN</t>
        </is>
      </c>
      <c r="G216" t="inlineStr">
        <is>
          <t>HYLTE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46236</v>
      </c>
      <c r="F217" t="inlineStr">
        <is>
          <t>HALLANDS LÄN</t>
        </is>
      </c>
      <c r="G217" t="inlineStr">
        <is>
          <t>HYLTE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46236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46236</v>
      </c>
      <c r="F219" t="inlineStr">
        <is>
          <t>HALLANDS LÄN</t>
        </is>
      </c>
      <c r="G219" t="inlineStr">
        <is>
          <t>HYLTE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46236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45460</v>
      </c>
      <c r="E221" s="1" t="n">
        <v>46236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46236</v>
      </c>
      <c r="F222" t="inlineStr">
        <is>
          <t>HALLANDS LÄN</t>
        </is>
      </c>
      <c r="G222" t="inlineStr">
        <is>
          <t>HYLTE</t>
        </is>
      </c>
      <c r="H222" t="inlineStr">
        <is>
          <t>Bergvik skog väst AB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46236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46236</v>
      </c>
      <c r="F224" t="inlineStr">
        <is>
          <t>HALLANDS LÄN</t>
        </is>
      </c>
      <c r="G224" t="inlineStr">
        <is>
          <t>HYLTE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46236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46236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46236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46236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46236</v>
      </c>
      <c r="F229" t="inlineStr">
        <is>
          <t>HALLANDS LÄN</t>
        </is>
      </c>
      <c r="G229" t="inlineStr">
        <is>
          <t>HYLTE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48152-2025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46236</v>
      </c>
      <c r="F230" t="inlineStr">
        <is>
          <t>HALLANDS LÄN</t>
        </is>
      </c>
      <c r="G230" t="inlineStr">
        <is>
          <t>HYLTE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46236</v>
      </c>
      <c r="F231" t="inlineStr">
        <is>
          <t>HALLANDS LÄN</t>
        </is>
      </c>
      <c r="G231" t="inlineStr">
        <is>
          <t>HYLTE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46236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46236</v>
      </c>
      <c r="F233" t="inlineStr">
        <is>
          <t>HALLANDS LÄN</t>
        </is>
      </c>
      <c r="G233" t="inlineStr">
        <is>
          <t>HYLTE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45456</v>
      </c>
      <c r="E234" s="1" t="n">
        <v>46236</v>
      </c>
      <c r="F234" t="inlineStr">
        <is>
          <t>HALLANDS LÄN</t>
        </is>
      </c>
      <c r="G234" t="inlineStr">
        <is>
          <t>HYLTE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46236</v>
      </c>
      <c r="F235" t="inlineStr">
        <is>
          <t>HALLANDS LÄN</t>
        </is>
      </c>
      <c r="G235" t="inlineStr">
        <is>
          <t>HYLTE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44714</v>
      </c>
      <c r="E236" s="1" t="n">
        <v>46236</v>
      </c>
      <c r="F236" t="inlineStr">
        <is>
          <t>HALLANDS LÄN</t>
        </is>
      </c>
      <c r="G236" t="inlineStr">
        <is>
          <t>HYLTE</t>
        </is>
      </c>
      <c r="H236" t="inlineStr">
        <is>
          <t>Bergvik skog väst AB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44813</v>
      </c>
      <c r="E237" s="1" t="n">
        <v>46236</v>
      </c>
      <c r="F237" t="inlineStr">
        <is>
          <t>HALLANDS LÄN</t>
        </is>
      </c>
      <c r="G237" t="inlineStr">
        <is>
          <t>HYLTE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46236</v>
      </c>
      <c r="F238" t="inlineStr">
        <is>
          <t>HALLANDS LÄN</t>
        </is>
      </c>
      <c r="G238" t="inlineStr">
        <is>
          <t>HYLTE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45163</v>
      </c>
      <c r="E239" s="1" t="n">
        <v>46236</v>
      </c>
      <c r="F239" t="inlineStr">
        <is>
          <t>HALLANDS LÄN</t>
        </is>
      </c>
      <c r="G239" t="inlineStr">
        <is>
          <t>HYLTE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46236</v>
      </c>
      <c r="F240" t="inlineStr">
        <is>
          <t>HALLANDS LÄN</t>
        </is>
      </c>
      <c r="G240" t="inlineStr">
        <is>
          <t>HYLTE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46148</v>
      </c>
      <c r="E241" s="1" t="n">
        <v>46236</v>
      </c>
      <c r="F241" t="inlineStr">
        <is>
          <t>HALLANDS LÄN</t>
        </is>
      </c>
      <c r="G241" t="inlineStr">
        <is>
          <t>HYLTE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46236</v>
      </c>
      <c r="F242" t="inlineStr">
        <is>
          <t>HALLANDS LÄN</t>
        </is>
      </c>
      <c r="G242" t="inlineStr">
        <is>
          <t>HYLTE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46236</v>
      </c>
      <c r="F243" t="inlineStr">
        <is>
          <t>HALLANDS LÄN</t>
        </is>
      </c>
      <c r="G243" t="inlineStr">
        <is>
          <t>HYLTE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45035</v>
      </c>
      <c r="E244" s="1" t="n">
        <v>46236</v>
      </c>
      <c r="F244" t="inlineStr">
        <is>
          <t>HALLANDS LÄN</t>
        </is>
      </c>
      <c r="G244" t="inlineStr">
        <is>
          <t>HYLTE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46236</v>
      </c>
      <c r="F245" t="inlineStr">
        <is>
          <t>HALLANDS LÄN</t>
        </is>
      </c>
      <c r="G245" t="inlineStr">
        <is>
          <t>HYLTE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46236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44726</v>
      </c>
      <c r="E247" s="1" t="n">
        <v>46236</v>
      </c>
      <c r="F247" t="inlineStr">
        <is>
          <t>HALLANDS LÄN</t>
        </is>
      </c>
      <c r="G247" t="inlineStr">
        <is>
          <t>HYLTE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46236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46236</v>
      </c>
      <c r="F249" t="inlineStr">
        <is>
          <t>HALLANDS LÄN</t>
        </is>
      </c>
      <c r="G249" t="inlineStr">
        <is>
          <t>HYLTE</t>
        </is>
      </c>
      <c r="H249" t="inlineStr">
        <is>
          <t>Kyrkan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46236</v>
      </c>
      <c r="F250" t="inlineStr">
        <is>
          <t>HALLANDS LÄN</t>
        </is>
      </c>
      <c r="G250" t="inlineStr">
        <is>
          <t>HYLTE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46236</v>
      </c>
      <c r="F251" t="inlineStr">
        <is>
          <t>HALLANDS LÄN</t>
        </is>
      </c>
      <c r="G251" t="inlineStr">
        <is>
          <t>HYLTE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46236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45350</v>
      </c>
      <c r="E253" s="1" t="n">
        <v>46236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46236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46236</v>
      </c>
      <c r="F255" t="inlineStr">
        <is>
          <t>HALLANDS LÄN</t>
        </is>
      </c>
      <c r="G255" t="inlineStr">
        <is>
          <t>HYLTE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46236</v>
      </c>
      <c r="F256" t="inlineStr">
        <is>
          <t>HALLANDS LÄN</t>
        </is>
      </c>
      <c r="G256" t="inlineStr">
        <is>
          <t>HYLTE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53815-2021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44469</v>
      </c>
      <c r="E257" s="1" t="n">
        <v>46236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46236</v>
      </c>
      <c r="F258" t="inlineStr">
        <is>
          <t>HALLANDS LÄN</t>
        </is>
      </c>
      <c r="G258" t="inlineStr">
        <is>
          <t>HYLTE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46236</v>
      </c>
      <c r="F259" t="inlineStr">
        <is>
          <t>HALLANDS LÄN</t>
        </is>
      </c>
      <c r="G259" t="inlineStr">
        <is>
          <t>HYLTE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46236</v>
      </c>
      <c r="F260" t="inlineStr">
        <is>
          <t>HALLANDS LÄN</t>
        </is>
      </c>
      <c r="G260" t="inlineStr">
        <is>
          <t>HYLTE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45429</v>
      </c>
      <c r="E261" s="1" t="n">
        <v>46236</v>
      </c>
      <c r="F261" t="inlineStr">
        <is>
          <t>HALLANDS LÄN</t>
        </is>
      </c>
      <c r="G261" t="inlineStr">
        <is>
          <t>HYLTE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46236</v>
      </c>
      <c r="F262" t="inlineStr">
        <is>
          <t>HALLANDS LÄN</t>
        </is>
      </c>
      <c r="G262" t="inlineStr">
        <is>
          <t>HYLTE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46236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46236</v>
      </c>
      <c r="F264" t="inlineStr">
        <is>
          <t>HALLANDS LÄN</t>
        </is>
      </c>
      <c r="G264" t="inlineStr">
        <is>
          <t>HYLTE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46236</v>
      </c>
      <c r="F265" t="inlineStr">
        <is>
          <t>HALLANDS LÄN</t>
        </is>
      </c>
      <c r="G265" t="inlineStr">
        <is>
          <t>HYLTE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44712</v>
      </c>
      <c r="E266" s="1" t="n">
        <v>46236</v>
      </c>
      <c r="F266" t="inlineStr">
        <is>
          <t>HALLANDS LÄN</t>
        </is>
      </c>
      <c r="G266" t="inlineStr">
        <is>
          <t>HYLTE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46236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46236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46236</v>
      </c>
      <c r="F269" t="inlineStr">
        <is>
          <t>HALLANDS LÄN</t>
        </is>
      </c>
      <c r="G269" t="inlineStr">
        <is>
          <t>HYLTE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46236</v>
      </c>
      <c r="F270" t="inlineStr">
        <is>
          <t>HALLANDS LÄN</t>
        </is>
      </c>
      <c r="G270" t="inlineStr">
        <is>
          <t>HYLTE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46236</v>
      </c>
      <c r="F271" t="inlineStr">
        <is>
          <t>HALLANDS LÄN</t>
        </is>
      </c>
      <c r="G271" t="inlineStr">
        <is>
          <t>HYLTE</t>
        </is>
      </c>
      <c r="H271" t="inlineStr">
        <is>
          <t>Kyrkan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46236</v>
      </c>
      <c r="F272" t="inlineStr">
        <is>
          <t>HALLANDS LÄN</t>
        </is>
      </c>
      <c r="G272" t="inlineStr">
        <is>
          <t>HYLTE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46236</v>
      </c>
      <c r="F273" t="inlineStr">
        <is>
          <t>HALLANDS LÄN</t>
        </is>
      </c>
      <c r="G273" t="inlineStr">
        <is>
          <t>HYLTE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44729</v>
      </c>
      <c r="E274" s="1" t="n">
        <v>46236</v>
      </c>
      <c r="F274" t="inlineStr">
        <is>
          <t>HALLANDS LÄN</t>
        </is>
      </c>
      <c r="G274" t="inlineStr">
        <is>
          <t>HYLTE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46236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45483</v>
      </c>
      <c r="E276" s="1" t="n">
        <v>46236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46236</v>
      </c>
      <c r="F277" t="inlineStr">
        <is>
          <t>HALLANDS LÄN</t>
        </is>
      </c>
      <c r="G277" t="inlineStr">
        <is>
          <t>HYLTE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10364-2023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44980</v>
      </c>
      <c r="E278" s="1" t="n">
        <v>46236</v>
      </c>
      <c r="F278" t="inlineStr">
        <is>
          <t>HALLANDS LÄN</t>
        </is>
      </c>
      <c r="G278" t="inlineStr">
        <is>
          <t>HYLTE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46236</v>
      </c>
      <c r="F279" t="inlineStr">
        <is>
          <t>HALLANDS LÄN</t>
        </is>
      </c>
      <c r="G279" t="inlineStr">
        <is>
          <t>HYLTE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46236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46236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46236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46236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46236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46236</v>
      </c>
      <c r="F285" t="inlineStr">
        <is>
          <t>HALLANDS LÄN</t>
        </is>
      </c>
      <c r="G285" t="inlineStr">
        <is>
          <t>HYLTE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45502</v>
      </c>
      <c r="E286" s="1" t="n">
        <v>46236</v>
      </c>
      <c r="F286" t="inlineStr">
        <is>
          <t>HALLANDS LÄN</t>
        </is>
      </c>
      <c r="G286" t="inlineStr">
        <is>
          <t>HYLTE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46236</v>
      </c>
      <c r="F287" t="inlineStr">
        <is>
          <t>HALLANDS LÄN</t>
        </is>
      </c>
      <c r="G287" t="inlineStr">
        <is>
          <t>HYLTE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46161</v>
      </c>
      <c r="E288" s="1" t="n">
        <v>46236</v>
      </c>
      <c r="F288" t="inlineStr">
        <is>
          <t>HALLANDS LÄN</t>
        </is>
      </c>
      <c r="G288" t="inlineStr">
        <is>
          <t>HYLTE</t>
        </is>
      </c>
      <c r="H288" t="inlineStr">
        <is>
          <t>Bergvik skog väst AB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46236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46236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50152-2021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44456</v>
      </c>
      <c r="E291" s="1" t="n">
        <v>46236</v>
      </c>
      <c r="F291" t="inlineStr">
        <is>
          <t>HALLANDS LÄN</t>
        </is>
      </c>
      <c r="G291" t="inlineStr">
        <is>
          <t>HYLTE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60328-2022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44910</v>
      </c>
      <c r="E292" s="1" t="n">
        <v>46236</v>
      </c>
      <c r="F292" t="inlineStr">
        <is>
          <t>HALLANDS LÄN</t>
        </is>
      </c>
      <c r="G292" t="inlineStr">
        <is>
          <t>HYLTE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46236</v>
      </c>
      <c r="F293" t="inlineStr">
        <is>
          <t>HALLANDS LÄN</t>
        </is>
      </c>
      <c r="G293" t="inlineStr">
        <is>
          <t>HYLTE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46236</v>
      </c>
      <c r="F294" t="inlineStr">
        <is>
          <t>HALLANDS LÄN</t>
        </is>
      </c>
      <c r="G294" t="inlineStr">
        <is>
          <t>HYLTE</t>
        </is>
      </c>
      <c r="H294" t="inlineStr">
        <is>
          <t>Bergvik skog väst AB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46161</v>
      </c>
      <c r="E295" s="1" t="n">
        <v>46236</v>
      </c>
      <c r="F295" t="inlineStr">
        <is>
          <t>HALLANDS LÄN</t>
        </is>
      </c>
      <c r="G295" t="inlineStr">
        <is>
          <t>HYLTE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46236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46236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44477</v>
      </c>
      <c r="E298" s="1" t="n">
        <v>46236</v>
      </c>
      <c r="F298" t="inlineStr">
        <is>
          <t>HALLANDS LÄN</t>
        </is>
      </c>
      <c r="G298" t="inlineStr">
        <is>
          <t>HYLTE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46236</v>
      </c>
      <c r="F299" t="inlineStr">
        <is>
          <t>HALLANDS LÄN</t>
        </is>
      </c>
      <c r="G299" t="inlineStr">
        <is>
          <t>HYLTE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46236</v>
      </c>
      <c r="F300" t="inlineStr">
        <is>
          <t>HALLANDS LÄN</t>
        </is>
      </c>
      <c r="G300" t="inlineStr">
        <is>
          <t>HYLTE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46236</v>
      </c>
      <c r="F301" t="inlineStr">
        <is>
          <t>HALLANDS LÄN</t>
        </is>
      </c>
      <c r="G301" t="inlineStr">
        <is>
          <t>HYLTE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46236</v>
      </c>
      <c r="F302" t="inlineStr">
        <is>
          <t>HALLANDS LÄN</t>
        </is>
      </c>
      <c r="G302" t="inlineStr">
        <is>
          <t>HYLTE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46236</v>
      </c>
      <c r="F303" t="inlineStr">
        <is>
          <t>HALLANDS LÄN</t>
        </is>
      </c>
      <c r="G303" t="inlineStr">
        <is>
          <t>HYLTE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46236</v>
      </c>
      <c r="F304" t="inlineStr">
        <is>
          <t>HALLANDS LÄN</t>
        </is>
      </c>
      <c r="G304" t="inlineStr">
        <is>
          <t>HYLTE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45002</v>
      </c>
      <c r="E305" s="1" t="n">
        <v>46236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46236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46236</v>
      </c>
      <c r="F307" t="inlineStr">
        <is>
          <t>HALLANDS LÄN</t>
        </is>
      </c>
      <c r="G307" t="inlineStr">
        <is>
          <t>HYLTE</t>
        </is>
      </c>
      <c r="H307" t="inlineStr">
        <is>
          <t>Bergvik skog väst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45477</v>
      </c>
      <c r="E308" s="1" t="n">
        <v>46236</v>
      </c>
      <c r="F308" t="inlineStr">
        <is>
          <t>HALLANDS LÄN</t>
        </is>
      </c>
      <c r="G308" t="inlineStr">
        <is>
          <t>HYLTE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46236</v>
      </c>
      <c r="F309" t="inlineStr">
        <is>
          <t>HALLANDS LÄN</t>
        </is>
      </c>
      <c r="G309" t="inlineStr">
        <is>
          <t>HYLTE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46236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46236</v>
      </c>
      <c r="F311" t="inlineStr">
        <is>
          <t>HALLANDS LÄN</t>
        </is>
      </c>
      <c r="G311" t="inlineStr">
        <is>
          <t>HYLTE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46236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46236</v>
      </c>
      <c r="F313" t="inlineStr">
        <is>
          <t>HALLANDS LÄN</t>
        </is>
      </c>
      <c r="G313" t="inlineStr">
        <is>
          <t>HYLTE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46236</v>
      </c>
      <c r="F314" t="inlineStr">
        <is>
          <t>HALLANDS LÄN</t>
        </is>
      </c>
      <c r="G314" t="inlineStr">
        <is>
          <t>HYLTE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44455</v>
      </c>
      <c r="E315" s="1" t="n">
        <v>46236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44460</v>
      </c>
      <c r="E316" s="1" t="n">
        <v>46236</v>
      </c>
      <c r="F316" t="inlineStr">
        <is>
          <t>HALLANDS LÄN</t>
        </is>
      </c>
      <c r="G316" t="inlineStr">
        <is>
          <t>HYLTE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50814-2021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44460</v>
      </c>
      <c r="E317" s="1" t="n">
        <v>46236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46236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45096</v>
      </c>
      <c r="E319" s="1" t="n">
        <v>46236</v>
      </c>
      <c r="F319" t="inlineStr">
        <is>
          <t>HALLANDS LÄN</t>
        </is>
      </c>
      <c r="G319" t="inlineStr">
        <is>
          <t>HYLTE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46236</v>
      </c>
      <c r="F320" t="inlineStr">
        <is>
          <t>HALLANDS LÄN</t>
        </is>
      </c>
      <c r="G320" t="inlineStr">
        <is>
          <t>HYLTE</t>
        </is>
      </c>
      <c r="H320" t="inlineStr">
        <is>
          <t>Bergvik skog väst AB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46236</v>
      </c>
      <c r="F321" t="inlineStr">
        <is>
          <t>HALLANDS LÄN</t>
        </is>
      </c>
      <c r="G321" t="inlineStr">
        <is>
          <t>HYLTE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45351</v>
      </c>
      <c r="E322" s="1" t="n">
        <v>46236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45441</v>
      </c>
      <c r="E323" s="1" t="n">
        <v>46236</v>
      </c>
      <c r="F323" t="inlineStr">
        <is>
          <t>HALLANDS LÄN</t>
        </is>
      </c>
      <c r="G323" t="inlineStr">
        <is>
          <t>HYLTE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46699-2025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46236</v>
      </c>
      <c r="F324" t="inlineStr">
        <is>
          <t>HALLANDS LÄN</t>
        </is>
      </c>
      <c r="G324" t="inlineStr">
        <is>
          <t>HYLTE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21462-2024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45441</v>
      </c>
      <c r="E325" s="1" t="n">
        <v>46236</v>
      </c>
      <c r="F325" t="inlineStr">
        <is>
          <t>HALLANDS LÄN</t>
        </is>
      </c>
      <c r="G325" t="inlineStr">
        <is>
          <t>HYLTE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45624</v>
      </c>
      <c r="E326" s="1" t="n">
        <v>46236</v>
      </c>
      <c r="F326" t="inlineStr">
        <is>
          <t>HALLANDS LÄN</t>
        </is>
      </c>
      <c r="G326" t="inlineStr">
        <is>
          <t>HYLTE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46236</v>
      </c>
      <c r="F327" t="inlineStr">
        <is>
          <t>HALLANDS LÄN</t>
        </is>
      </c>
      <c r="G327" t="inlineStr">
        <is>
          <t>HYLTE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46236</v>
      </c>
      <c r="F328" t="inlineStr">
        <is>
          <t>HALLANDS LÄN</t>
        </is>
      </c>
      <c r="G328" t="inlineStr">
        <is>
          <t>HYLTE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45770</v>
      </c>
      <c r="E329" s="1" t="n">
        <v>46236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45229</v>
      </c>
      <c r="E330" s="1" t="n">
        <v>46236</v>
      </c>
      <c r="F330" t="inlineStr">
        <is>
          <t>HALLANDS LÄN</t>
        </is>
      </c>
      <c r="G330" t="inlineStr">
        <is>
          <t>HYLTE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46236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46236</v>
      </c>
      <c r="F332" t="inlineStr">
        <is>
          <t>HALLANDS LÄN</t>
        </is>
      </c>
      <c r="G332" t="inlineStr">
        <is>
          <t>HYLTE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46236</v>
      </c>
      <c r="F333" t="inlineStr">
        <is>
          <t>HALLANDS LÄN</t>
        </is>
      </c>
      <c r="G333" t="inlineStr">
        <is>
          <t>HYLTE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46169</v>
      </c>
      <c r="E334" s="1" t="n">
        <v>46236</v>
      </c>
      <c r="F334" t="inlineStr">
        <is>
          <t>HALLANDS LÄN</t>
        </is>
      </c>
      <c r="G334" t="inlineStr">
        <is>
          <t>HYLTE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46236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46236</v>
      </c>
      <c r="F336" t="inlineStr">
        <is>
          <t>HALLANDS LÄN</t>
        </is>
      </c>
      <c r="G336" t="inlineStr">
        <is>
          <t>HYLTE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44635</v>
      </c>
      <c r="E337" s="1" t="n">
        <v>46236</v>
      </c>
      <c r="F337" t="inlineStr">
        <is>
          <t>HALLANDS LÄN</t>
        </is>
      </c>
      <c r="G337" t="inlineStr">
        <is>
          <t>HYLTE</t>
        </is>
      </c>
      <c r="H337" t="inlineStr">
        <is>
          <t>Bergvik skog väst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46236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46236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46236</v>
      </c>
      <c r="F340" t="inlineStr">
        <is>
          <t>HALLANDS LÄN</t>
        </is>
      </c>
      <c r="G340" t="inlineStr">
        <is>
          <t>HYLTE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46236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46236</v>
      </c>
      <c r="F342" t="inlineStr">
        <is>
          <t>HALLANDS LÄN</t>
        </is>
      </c>
      <c r="G342" t="inlineStr">
        <is>
          <t>HYLTE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46171</v>
      </c>
      <c r="E343" s="1" t="n">
        <v>46236</v>
      </c>
      <c r="F343" t="inlineStr">
        <is>
          <t>HALLANDS LÄN</t>
        </is>
      </c>
      <c r="G343" t="inlineStr">
        <is>
          <t>HYLTE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46236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46236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44750</v>
      </c>
      <c r="E346" s="1" t="n">
        <v>46236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45368</v>
      </c>
      <c r="E347" s="1" t="n">
        <v>46236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46236</v>
      </c>
      <c r="F348" t="inlineStr">
        <is>
          <t>HALLANDS LÄN</t>
        </is>
      </c>
      <c r="G348" t="inlineStr">
        <is>
          <t>HYLTE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46236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46236</v>
      </c>
      <c r="F350" t="inlineStr">
        <is>
          <t>HALLANDS LÄN</t>
        </is>
      </c>
      <c r="G350" t="inlineStr">
        <is>
          <t>HYLTE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44893</v>
      </c>
      <c r="E351" s="1" t="n">
        <v>46236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45406</v>
      </c>
      <c r="E352" s="1" t="n">
        <v>46236</v>
      </c>
      <c r="F352" t="inlineStr">
        <is>
          <t>HALLANDS LÄN</t>
        </is>
      </c>
      <c r="G352" t="inlineStr">
        <is>
          <t>HYLTE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44967</v>
      </c>
      <c r="E353" s="1" t="n">
        <v>46236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46236</v>
      </c>
      <c r="F354" t="inlineStr">
        <is>
          <t>HALLANDS LÄN</t>
        </is>
      </c>
      <c r="G354" t="inlineStr">
        <is>
          <t>HYLTE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46236</v>
      </c>
      <c r="F355" t="inlineStr">
        <is>
          <t>HALLANDS LÄN</t>
        </is>
      </c>
      <c r="G355" t="inlineStr">
        <is>
          <t>HYLTE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46236</v>
      </c>
      <c r="F356" t="inlineStr">
        <is>
          <t>HALLANDS LÄN</t>
        </is>
      </c>
      <c r="G356" t="inlineStr">
        <is>
          <t>HYLTE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46236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46236</v>
      </c>
      <c r="F358" t="inlineStr">
        <is>
          <t>HALLANDS LÄN</t>
        </is>
      </c>
      <c r="G358" t="inlineStr">
        <is>
          <t>HYLTE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46209</v>
      </c>
      <c r="E359" s="1" t="n">
        <v>46236</v>
      </c>
      <c r="F359" t="inlineStr">
        <is>
          <t>HALLANDS LÄN</t>
        </is>
      </c>
      <c r="G359" t="inlineStr">
        <is>
          <t>HYLTE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45352</v>
      </c>
      <c r="E360" s="1" t="n">
        <v>46236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46236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46236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45405</v>
      </c>
      <c r="E363" s="1" t="n">
        <v>46236</v>
      </c>
      <c r="F363" t="inlineStr">
        <is>
          <t>HALLANDS LÄN</t>
        </is>
      </c>
      <c r="G363" t="inlineStr">
        <is>
          <t>HYLTE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46236</v>
      </c>
      <c r="F364" t="inlineStr">
        <is>
          <t>HALLANDS LÄN</t>
        </is>
      </c>
      <c r="G364" t="inlineStr">
        <is>
          <t>HYLTE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46236</v>
      </c>
      <c r="F365" t="inlineStr">
        <is>
          <t>HALLANDS LÄN</t>
        </is>
      </c>
      <c r="G365" t="inlineStr">
        <is>
          <t>HYLTE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68969-2021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44530</v>
      </c>
      <c r="E366" s="1" t="n">
        <v>46236</v>
      </c>
      <c r="F366" t="inlineStr">
        <is>
          <t>HALLANDS LÄN</t>
        </is>
      </c>
      <c r="G366" t="inlineStr">
        <is>
          <t>HYLTE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46236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46236</v>
      </c>
      <c r="F368" t="inlineStr">
        <is>
          <t>HALLANDS LÄN</t>
        </is>
      </c>
      <c r="G368" t="inlineStr">
        <is>
          <t>HYLTE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46236</v>
      </c>
      <c r="F369" t="inlineStr">
        <is>
          <t>HALLANDS LÄN</t>
        </is>
      </c>
      <c r="G369" t="inlineStr">
        <is>
          <t>HYLTE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6610-2022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44601</v>
      </c>
      <c r="E370" s="1" t="n">
        <v>46236</v>
      </c>
      <c r="F370" t="inlineStr">
        <is>
          <t>HALLANDS LÄN</t>
        </is>
      </c>
      <c r="G370" t="inlineStr">
        <is>
          <t>HYLTE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64221-2021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44510</v>
      </c>
      <c r="E371" s="1" t="n">
        <v>46236</v>
      </c>
      <c r="F371" t="inlineStr">
        <is>
          <t>HALLANDS LÄN</t>
        </is>
      </c>
      <c r="G371" t="inlineStr">
        <is>
          <t>HYLTE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46236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46236</v>
      </c>
      <c r="F373" t="inlineStr">
        <is>
          <t>HALLANDS LÄN</t>
        </is>
      </c>
      <c r="G373" t="inlineStr">
        <is>
          <t>HYLTE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46236</v>
      </c>
      <c r="F374" t="inlineStr">
        <is>
          <t>HALLANDS LÄN</t>
        </is>
      </c>
      <c r="G374" t="inlineStr">
        <is>
          <t>HYLTE</t>
        </is>
      </c>
      <c r="I374" t="n">
        <v>17.9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46236</v>
      </c>
      <c r="F375" t="inlineStr">
        <is>
          <t>HALLANDS LÄN</t>
        </is>
      </c>
      <c r="G375" t="inlineStr">
        <is>
          <t>HYLTE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46236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46236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46236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46236</v>
      </c>
      <c r="F379" t="inlineStr">
        <is>
          <t>HALLANDS LÄN</t>
        </is>
      </c>
      <c r="G379" t="inlineStr">
        <is>
          <t>HYLTE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45253</v>
      </c>
      <c r="E380" s="1" t="n">
        <v>46236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46236</v>
      </c>
      <c r="F381" t="inlineStr">
        <is>
          <t>HALLANDS LÄN</t>
        </is>
      </c>
      <c r="G381" t="inlineStr">
        <is>
          <t>HYLTE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46044</v>
      </c>
      <c r="E382" s="1" t="n">
        <v>46236</v>
      </c>
      <c r="F382" t="inlineStr">
        <is>
          <t>HALLANDS LÄN</t>
        </is>
      </c>
      <c r="G382" t="inlineStr">
        <is>
          <t>HYLTE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46236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46236</v>
      </c>
      <c r="F384" t="inlineStr">
        <is>
          <t>HALLANDS LÄN</t>
        </is>
      </c>
      <c r="G384" t="inlineStr">
        <is>
          <t>HYLTE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46236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46236</v>
      </c>
      <c r="F386" t="inlineStr">
        <is>
          <t>HALLANDS LÄN</t>
        </is>
      </c>
      <c r="G386" t="inlineStr">
        <is>
          <t>HYLTE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46236</v>
      </c>
      <c r="F387" t="inlineStr">
        <is>
          <t>HALLANDS LÄN</t>
        </is>
      </c>
      <c r="G387" t="inlineStr">
        <is>
          <t>HYLTE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46236</v>
      </c>
      <c r="F388" t="inlineStr">
        <is>
          <t>HALLANDS LÄN</t>
        </is>
      </c>
      <c r="G388" t="inlineStr">
        <is>
          <t>HYLTE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46236</v>
      </c>
      <c r="F389" t="inlineStr">
        <is>
          <t>HALLANDS LÄN</t>
        </is>
      </c>
      <c r="G389" t="inlineStr">
        <is>
          <t>HYLTE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46236</v>
      </c>
      <c r="F390" t="inlineStr">
        <is>
          <t>HALLANDS LÄN</t>
        </is>
      </c>
      <c r="G390" t="inlineStr">
        <is>
          <t>HYLTE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46236</v>
      </c>
      <c r="F391" t="inlineStr">
        <is>
          <t>HALLANDS LÄN</t>
        </is>
      </c>
      <c r="G391" t="inlineStr">
        <is>
          <t>HYLTE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46236</v>
      </c>
      <c r="F392" t="inlineStr">
        <is>
          <t>HALLANDS LÄN</t>
        </is>
      </c>
      <c r="G392" t="inlineStr">
        <is>
          <t>HYLTE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46236</v>
      </c>
      <c r="F393" t="inlineStr">
        <is>
          <t>HALLANDS LÄN</t>
        </is>
      </c>
      <c r="G393" t="inlineStr">
        <is>
          <t>HYLTE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46236</v>
      </c>
      <c r="F394" t="inlineStr">
        <is>
          <t>HALLANDS LÄN</t>
        </is>
      </c>
      <c r="G394" t="inlineStr">
        <is>
          <t>HYLTE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46236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46236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46236</v>
      </c>
      <c r="F397" t="inlineStr">
        <is>
          <t>HALLANDS LÄN</t>
        </is>
      </c>
      <c r="G397" t="inlineStr">
        <is>
          <t>HYLTE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46236</v>
      </c>
      <c r="F398" t="inlineStr">
        <is>
          <t>HALLANDS LÄN</t>
        </is>
      </c>
      <c r="G398" t="inlineStr">
        <is>
          <t>HYLTE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46236</v>
      </c>
      <c r="F399" t="inlineStr">
        <is>
          <t>HALLANDS LÄN</t>
        </is>
      </c>
      <c r="G399" t="inlineStr">
        <is>
          <t>HYLTE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46236</v>
      </c>
      <c r="F400" t="inlineStr">
        <is>
          <t>HALLANDS LÄN</t>
        </is>
      </c>
      <c r="G400" t="inlineStr">
        <is>
          <t>HYLTE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46236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46236</v>
      </c>
      <c r="F402" t="inlineStr">
        <is>
          <t>HALLANDS LÄN</t>
        </is>
      </c>
      <c r="G402" t="inlineStr">
        <is>
          <t>HYLTE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46236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46236</v>
      </c>
      <c r="F404" t="inlineStr">
        <is>
          <t>HALLANDS LÄN</t>
        </is>
      </c>
      <c r="G404" t="inlineStr">
        <is>
          <t>HYLTE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45643</v>
      </c>
      <c r="E405" s="1" t="n">
        <v>46236</v>
      </c>
      <c r="F405" t="inlineStr">
        <is>
          <t>HALLANDS LÄN</t>
        </is>
      </c>
      <c r="G405" t="inlineStr">
        <is>
          <t>HYLTE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31265-2023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45114</v>
      </c>
      <c r="E406" s="1" t="n">
        <v>46236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46236</v>
      </c>
      <c r="F407" t="inlineStr">
        <is>
          <t>HALLANDS LÄN</t>
        </is>
      </c>
      <c r="G407" t="inlineStr">
        <is>
          <t>HYLTE</t>
        </is>
      </c>
      <c r="H407" t="inlineStr">
        <is>
          <t>Kyrkan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46236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46236</v>
      </c>
      <c r="F409" t="inlineStr">
        <is>
          <t>HALLANDS LÄN</t>
        </is>
      </c>
      <c r="G409" t="inlineStr">
        <is>
          <t>HYLTE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46236</v>
      </c>
      <c r="F410" t="inlineStr">
        <is>
          <t>HALLANDS LÄN</t>
        </is>
      </c>
      <c r="G410" t="inlineStr">
        <is>
          <t>HYLTE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45538</v>
      </c>
      <c r="E411" s="1" t="n">
        <v>46236</v>
      </c>
      <c r="F411" t="inlineStr">
        <is>
          <t>HALLANDS LÄN</t>
        </is>
      </c>
      <c r="G411" t="inlineStr">
        <is>
          <t>HYLTE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46236</v>
      </c>
      <c r="F412" t="inlineStr">
        <is>
          <t>HALLANDS LÄN</t>
        </is>
      </c>
      <c r="G412" t="inlineStr">
        <is>
          <t>HYLTE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46236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46236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46236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46236</v>
      </c>
      <c r="F416" t="inlineStr">
        <is>
          <t>HALLANDS LÄN</t>
        </is>
      </c>
      <c r="G416" t="inlineStr">
        <is>
          <t>HYLTE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46236</v>
      </c>
      <c r="F417" t="inlineStr">
        <is>
          <t>HALLANDS LÄN</t>
        </is>
      </c>
      <c r="G417" t="inlineStr">
        <is>
          <t>HYLTE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46236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46236</v>
      </c>
      <c r="F419" t="inlineStr">
        <is>
          <t>HALLANDS LÄN</t>
        </is>
      </c>
      <c r="G419" t="inlineStr">
        <is>
          <t>HYLTE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46236</v>
      </c>
      <c r="F420" t="inlineStr">
        <is>
          <t>HALLANDS LÄN</t>
        </is>
      </c>
      <c r="G420" t="inlineStr">
        <is>
          <t>HYLTE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46236</v>
      </c>
      <c r="F421" t="inlineStr">
        <is>
          <t>HALLANDS LÄN</t>
        </is>
      </c>
      <c r="G421" t="inlineStr">
        <is>
          <t>HYLTE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46236</v>
      </c>
      <c r="F422" t="inlineStr">
        <is>
          <t>HALLANDS LÄN</t>
        </is>
      </c>
      <c r="G422" t="inlineStr">
        <is>
          <t>HYLTE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46236</v>
      </c>
      <c r="F423" t="inlineStr">
        <is>
          <t>HALLANDS LÄN</t>
        </is>
      </c>
      <c r="G423" t="inlineStr">
        <is>
          <t>HYLTE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46236</v>
      </c>
      <c r="F424" t="inlineStr">
        <is>
          <t>HALLANDS LÄN</t>
        </is>
      </c>
      <c r="G424" t="inlineStr">
        <is>
          <t>HYLTE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46236</v>
      </c>
      <c r="F425" t="inlineStr">
        <is>
          <t>HALLANDS LÄN</t>
        </is>
      </c>
      <c r="G425" t="inlineStr">
        <is>
          <t>HYLTE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45604</v>
      </c>
      <c r="E426" s="1" t="n">
        <v>46236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46236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45091</v>
      </c>
      <c r="E428" s="1" t="n">
        <v>46236</v>
      </c>
      <c r="F428" t="inlineStr">
        <is>
          <t>HALLANDS LÄN</t>
        </is>
      </c>
      <c r="G428" t="inlineStr">
        <is>
          <t>HYLTE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45371</v>
      </c>
      <c r="E429" s="1" t="n">
        <v>46236</v>
      </c>
      <c r="F429" t="inlineStr">
        <is>
          <t>HALLANDS LÄN</t>
        </is>
      </c>
      <c r="G429" t="inlineStr">
        <is>
          <t>HYLTE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46236</v>
      </c>
      <c r="F430" t="inlineStr">
        <is>
          <t>HALLANDS LÄN</t>
        </is>
      </c>
      <c r="G430" t="inlineStr">
        <is>
          <t>HYLTE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49916-2024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45597</v>
      </c>
      <c r="E431" s="1" t="n">
        <v>46236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44641</v>
      </c>
      <c r="E432" s="1" t="n">
        <v>46236</v>
      </c>
      <c r="F432" t="inlineStr">
        <is>
          <t>HALLANDS LÄN</t>
        </is>
      </c>
      <c r="G432" t="inlineStr">
        <is>
          <t>HYLTE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46236</v>
      </c>
      <c r="F433" t="inlineStr">
        <is>
          <t>HALLANDS LÄN</t>
        </is>
      </c>
      <c r="G433" t="inlineStr">
        <is>
          <t>HYLTE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51223-2022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44868</v>
      </c>
      <c r="E434" s="1" t="n">
        <v>46236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45159</v>
      </c>
      <c r="E435" s="1" t="n">
        <v>46236</v>
      </c>
      <c r="F435" t="inlineStr">
        <is>
          <t>HALLANDS LÄN</t>
        </is>
      </c>
      <c r="G435" t="inlineStr">
        <is>
          <t>HYLTE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45456</v>
      </c>
      <c r="E436" s="1" t="n">
        <v>46236</v>
      </c>
      <c r="F436" t="inlineStr">
        <is>
          <t>HALLANDS LÄN</t>
        </is>
      </c>
      <c r="G436" t="inlineStr">
        <is>
          <t>HYLTE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45737</v>
      </c>
      <c r="E437" s="1" t="n">
        <v>46236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46236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46236</v>
      </c>
      <c r="F439" t="inlineStr">
        <is>
          <t>HALLANDS LÄN</t>
        </is>
      </c>
      <c r="G439" t="inlineStr">
        <is>
          <t>HYLTE</t>
        </is>
      </c>
      <c r="H439" t="inlineStr">
        <is>
          <t>Kyrkan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44697</v>
      </c>
      <c r="E440" s="1" t="n">
        <v>46236</v>
      </c>
      <c r="F440" t="inlineStr">
        <is>
          <t>HALLANDS LÄN</t>
        </is>
      </c>
      <c r="G440" t="inlineStr">
        <is>
          <t>HYLTE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46236</v>
      </c>
      <c r="F441" t="inlineStr">
        <is>
          <t>HALLANDS LÄN</t>
        </is>
      </c>
      <c r="G441" t="inlineStr">
        <is>
          <t>HYLTE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46236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45462</v>
      </c>
      <c r="E443" s="1" t="n">
        <v>46236</v>
      </c>
      <c r="F443" t="inlineStr">
        <is>
          <t>HALLANDS LÄN</t>
        </is>
      </c>
      <c r="G443" t="inlineStr">
        <is>
          <t>HYLTE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46236</v>
      </c>
      <c r="F444" t="inlineStr">
        <is>
          <t>HALLANDS LÄN</t>
        </is>
      </c>
      <c r="G444" t="inlineStr">
        <is>
          <t>HYLTE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45194</v>
      </c>
      <c r="E445" s="1" t="n">
        <v>46236</v>
      </c>
      <c r="F445" t="inlineStr">
        <is>
          <t>HALLANDS LÄN</t>
        </is>
      </c>
      <c r="G445" t="inlineStr">
        <is>
          <t>HYLTE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46236</v>
      </c>
      <c r="F446" t="inlineStr">
        <is>
          <t>HALLANDS LÄN</t>
        </is>
      </c>
      <c r="G446" t="inlineStr">
        <is>
          <t>HYLTE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46236</v>
      </c>
      <c r="F447" t="inlineStr">
        <is>
          <t>HALLANDS LÄN</t>
        </is>
      </c>
      <c r="G447" t="inlineStr">
        <is>
          <t>HYLTE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45203</v>
      </c>
      <c r="E448" s="1" t="n">
        <v>46236</v>
      </c>
      <c r="F448" t="inlineStr">
        <is>
          <t>HALLANDS LÄN</t>
        </is>
      </c>
      <c r="G448" t="inlineStr">
        <is>
          <t>HYLTE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46236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46236</v>
      </c>
      <c r="F450" t="inlineStr">
        <is>
          <t>HALLANDS LÄN</t>
        </is>
      </c>
      <c r="G450" t="inlineStr">
        <is>
          <t>HYLTE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46236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46236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46236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45300</v>
      </c>
      <c r="E454" s="1" t="n">
        <v>46236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46236</v>
      </c>
      <c r="F455" t="inlineStr">
        <is>
          <t>HALLANDS LÄN</t>
        </is>
      </c>
      <c r="G455" t="inlineStr">
        <is>
          <t>HYLTE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45352</v>
      </c>
      <c r="E456" s="1" t="n">
        <v>46236</v>
      </c>
      <c r="F456" t="inlineStr">
        <is>
          <t>HALLANDS LÄN</t>
        </is>
      </c>
      <c r="G456" t="inlineStr">
        <is>
          <t>HYLTE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45173</v>
      </c>
      <c r="E457" s="1" t="n">
        <v>46236</v>
      </c>
      <c r="F457" t="inlineStr">
        <is>
          <t>HALLANDS LÄN</t>
        </is>
      </c>
      <c r="G457" t="inlineStr">
        <is>
          <t>HYLTE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46236</v>
      </c>
      <c r="F458" t="inlineStr">
        <is>
          <t>HALLANDS LÄN</t>
        </is>
      </c>
      <c r="G458" t="inlineStr">
        <is>
          <t>HYLTE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46236</v>
      </c>
      <c r="F459" t="inlineStr">
        <is>
          <t>HALLANDS LÄN</t>
        </is>
      </c>
      <c r="G459" t="inlineStr">
        <is>
          <t>HYLTE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46236</v>
      </c>
      <c r="F460" t="inlineStr">
        <is>
          <t>HALLANDS LÄN</t>
        </is>
      </c>
      <c r="G460" t="inlineStr">
        <is>
          <t>HYLTE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46236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46236</v>
      </c>
      <c r="F462" t="inlineStr">
        <is>
          <t>HALLANDS LÄN</t>
        </is>
      </c>
      <c r="G462" t="inlineStr">
        <is>
          <t>HYLTE</t>
        </is>
      </c>
      <c r="H462" t="inlineStr">
        <is>
          <t>Kyrkan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49393-2023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46236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46236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46236</v>
      </c>
      <c r="F465" t="inlineStr">
        <is>
          <t>HALLANDS LÄN</t>
        </is>
      </c>
      <c r="G465" t="inlineStr">
        <is>
          <t>HYLTE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45441</v>
      </c>
      <c r="E466" s="1" t="n">
        <v>46236</v>
      </c>
      <c r="F466" t="inlineStr">
        <is>
          <t>HALLANDS LÄN</t>
        </is>
      </c>
      <c r="G466" t="inlineStr">
        <is>
          <t>HYLTE</t>
        </is>
      </c>
      <c r="H466" t="inlineStr">
        <is>
          <t>Kyrkan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45456</v>
      </c>
      <c r="E467" s="1" t="n">
        <v>46236</v>
      </c>
      <c r="F467" t="inlineStr">
        <is>
          <t>HALLANDS LÄN</t>
        </is>
      </c>
      <c r="G467" t="inlineStr">
        <is>
          <t>HYLTE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46111</v>
      </c>
      <c r="E468" s="1" t="n">
        <v>46236</v>
      </c>
      <c r="F468" t="inlineStr">
        <is>
          <t>HALLANDS LÄN</t>
        </is>
      </c>
      <c r="G468" t="inlineStr">
        <is>
          <t>HYLTE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46236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46236</v>
      </c>
      <c r="F470" t="inlineStr">
        <is>
          <t>HALLANDS LÄN</t>
        </is>
      </c>
      <c r="G470" t="inlineStr">
        <is>
          <t>HYLTE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45176</v>
      </c>
      <c r="E471" s="1" t="n">
        <v>46236</v>
      </c>
      <c r="F471" t="inlineStr">
        <is>
          <t>HALLANDS LÄN</t>
        </is>
      </c>
      <c r="G471" t="inlineStr">
        <is>
          <t>HYLTE</t>
        </is>
      </c>
      <c r="H471" t="inlineStr">
        <is>
          <t>Kyrkan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46236</v>
      </c>
      <c r="F472" t="inlineStr">
        <is>
          <t>HALLANDS LÄN</t>
        </is>
      </c>
      <c r="G472" t="inlineStr">
        <is>
          <t>HYLTE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46236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46236</v>
      </c>
      <c r="F474" t="inlineStr">
        <is>
          <t>HALLANDS LÄN</t>
        </is>
      </c>
      <c r="G474" t="inlineStr">
        <is>
          <t>HYLTE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40451-2022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44823</v>
      </c>
      <c r="E475" s="1" t="n">
        <v>46236</v>
      </c>
      <c r="F475" t="inlineStr">
        <is>
          <t>HALLANDS LÄN</t>
        </is>
      </c>
      <c r="G475" t="inlineStr">
        <is>
          <t>HYLTE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46236</v>
      </c>
      <c r="F476" t="inlineStr">
        <is>
          <t>HALLANDS LÄN</t>
        </is>
      </c>
      <c r="G476" t="inlineStr">
        <is>
          <t>HYLTE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46236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46236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46236</v>
      </c>
      <c r="F479" t="inlineStr">
        <is>
          <t>HALLANDS LÄN</t>
        </is>
      </c>
      <c r="G479" t="inlineStr">
        <is>
          <t>HYLTE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46236</v>
      </c>
      <c r="F480" t="inlineStr">
        <is>
          <t>HALLANDS LÄN</t>
        </is>
      </c>
      <c r="G480" t="inlineStr">
        <is>
          <t>HYLTE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46236</v>
      </c>
      <c r="F481" t="inlineStr">
        <is>
          <t>HALLANDS LÄN</t>
        </is>
      </c>
      <c r="G481" t="inlineStr">
        <is>
          <t>HYLTE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46236</v>
      </c>
      <c r="F482" t="inlineStr">
        <is>
          <t>HALLANDS LÄN</t>
        </is>
      </c>
      <c r="G482" t="inlineStr">
        <is>
          <t>HYLTE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46236</v>
      </c>
      <c r="F483" t="inlineStr">
        <is>
          <t>HALLANDS LÄN</t>
        </is>
      </c>
      <c r="G483" t="inlineStr">
        <is>
          <t>HYLTE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46236</v>
      </c>
      <c r="F484" t="inlineStr">
        <is>
          <t>HALLANDS LÄN</t>
        </is>
      </c>
      <c r="G484" t="inlineStr">
        <is>
          <t>HYLTE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46121</v>
      </c>
      <c r="E485" s="1" t="n">
        <v>46236</v>
      </c>
      <c r="F485" t="inlineStr">
        <is>
          <t>HALLANDS LÄN</t>
        </is>
      </c>
      <c r="G485" t="inlineStr">
        <is>
          <t>HYLTE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47772-2024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46236</v>
      </c>
      <c r="F486" t="inlineStr">
        <is>
          <t>HALLANDS LÄN</t>
        </is>
      </c>
      <c r="G486" t="inlineStr">
        <is>
          <t>HYLTE</t>
        </is>
      </c>
      <c r="H486" t="inlineStr">
        <is>
          <t>Kyrkan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65003-2023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45287</v>
      </c>
      <c r="E487" s="1" t="n">
        <v>46236</v>
      </c>
      <c r="F487" t="inlineStr">
        <is>
          <t>HALLANDS LÄN</t>
        </is>
      </c>
      <c r="G487" t="inlineStr">
        <is>
          <t>HYLTE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46236</v>
      </c>
      <c r="F488" t="inlineStr">
        <is>
          <t>HALLANDS LÄN</t>
        </is>
      </c>
      <c r="G488" t="inlineStr">
        <is>
          <t>HYLTE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46236</v>
      </c>
      <c r="F489" t="inlineStr">
        <is>
          <t>HALLANDS LÄN</t>
        </is>
      </c>
      <c r="G489" t="inlineStr">
        <is>
          <t>HYLTE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44701</v>
      </c>
      <c r="E490" s="1" t="n">
        <v>46236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46236</v>
      </c>
      <c r="F491" t="inlineStr">
        <is>
          <t>HALLANDS LÄN</t>
        </is>
      </c>
      <c r="G491" t="inlineStr">
        <is>
          <t>HYLTE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44735</v>
      </c>
      <c r="E492" s="1" t="n">
        <v>46236</v>
      </c>
      <c r="F492" t="inlineStr">
        <is>
          <t>HALLANDS LÄN</t>
        </is>
      </c>
      <c r="G492" t="inlineStr">
        <is>
          <t>HYLTE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46236</v>
      </c>
      <c r="F493" t="inlineStr">
        <is>
          <t>HALLANDS LÄN</t>
        </is>
      </c>
      <c r="G493" t="inlineStr">
        <is>
          <t>HYLTE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46236</v>
      </c>
      <c r="F494" t="inlineStr">
        <is>
          <t>HALLANDS LÄN</t>
        </is>
      </c>
      <c r="G494" t="inlineStr">
        <is>
          <t>HYLTE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14254-2022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44651</v>
      </c>
      <c r="E495" s="1" t="n">
        <v>46236</v>
      </c>
      <c r="F495" t="inlineStr">
        <is>
          <t>HALLANDS LÄN</t>
        </is>
      </c>
      <c r="G495" t="inlineStr">
        <is>
          <t>HYLTE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46236</v>
      </c>
      <c r="F496" t="inlineStr">
        <is>
          <t>HALLANDS LÄN</t>
        </is>
      </c>
      <c r="G496" t="inlineStr">
        <is>
          <t>HYLTE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54170-2024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46236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46236</v>
      </c>
      <c r="F498" t="inlineStr">
        <is>
          <t>HALLANDS LÄN</t>
        </is>
      </c>
      <c r="G498" t="inlineStr">
        <is>
          <t>HYLTE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45391</v>
      </c>
      <c r="E499" s="1" t="n">
        <v>46236</v>
      </c>
      <c r="F499" t="inlineStr">
        <is>
          <t>HALLANDS LÄN</t>
        </is>
      </c>
      <c r="G499" t="inlineStr">
        <is>
          <t>HYLTE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45316</v>
      </c>
      <c r="E500" s="1" t="n">
        <v>46236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31907-2024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45510</v>
      </c>
      <c r="E501" s="1" t="n">
        <v>46236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45167</v>
      </c>
      <c r="E502" s="1" t="n">
        <v>46236</v>
      </c>
      <c r="F502" t="inlineStr">
        <is>
          <t>HALLANDS LÄN</t>
        </is>
      </c>
      <c r="G502" t="inlineStr">
        <is>
          <t>HYLTE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46236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46236</v>
      </c>
      <c r="F504" t="inlineStr">
        <is>
          <t>HALLANDS LÄN</t>
        </is>
      </c>
      <c r="G504" t="inlineStr">
        <is>
          <t>HYLTE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45254</v>
      </c>
      <c r="E505" s="1" t="n">
        <v>46236</v>
      </c>
      <c r="F505" t="inlineStr">
        <is>
          <t>HALLANDS LÄN</t>
        </is>
      </c>
      <c r="G505" t="inlineStr">
        <is>
          <t>HYLTE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46236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46236</v>
      </c>
      <c r="F507" t="inlineStr">
        <is>
          <t>HALLANDS LÄN</t>
        </is>
      </c>
      <c r="G507" t="inlineStr">
        <is>
          <t>HYLTE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22323-2025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45786</v>
      </c>
      <c r="E508" s="1" t="n">
        <v>46236</v>
      </c>
      <c r="F508" t="inlineStr">
        <is>
          <t>HALLANDS LÄN</t>
        </is>
      </c>
      <c r="G508" t="inlineStr">
        <is>
          <t>HYLTE</t>
        </is>
      </c>
      <c r="H508" t="inlineStr">
        <is>
          <t>Kyrkan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41340-2024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45559</v>
      </c>
      <c r="E509" s="1" t="n">
        <v>46236</v>
      </c>
      <c r="F509" t="inlineStr">
        <is>
          <t>HALLANDS LÄN</t>
        </is>
      </c>
      <c r="G509" t="inlineStr">
        <is>
          <t>HYLTE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32050-2022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44778</v>
      </c>
      <c r="E510" s="1" t="n">
        <v>46236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44847</v>
      </c>
      <c r="E511" s="1" t="n">
        <v>46236</v>
      </c>
      <c r="F511" t="inlineStr">
        <is>
          <t>HALLANDS LÄN</t>
        </is>
      </c>
      <c r="G511" t="inlineStr">
        <is>
          <t>HYLTE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23069-2025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46236</v>
      </c>
      <c r="F512" t="inlineStr">
        <is>
          <t>HALLANDS LÄN</t>
        </is>
      </c>
      <c r="G512" t="inlineStr">
        <is>
          <t>HYLTE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46236</v>
      </c>
      <c r="F513" t="inlineStr">
        <is>
          <t>HALLANDS LÄN</t>
        </is>
      </c>
      <c r="G513" t="inlineStr">
        <is>
          <t>HYLTE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44694</v>
      </c>
      <c r="E514" s="1" t="n">
        <v>46236</v>
      </c>
      <c r="F514" t="inlineStr">
        <is>
          <t>HALLANDS LÄN</t>
        </is>
      </c>
      <c r="G514" t="inlineStr">
        <is>
          <t>HYLTE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52666-2023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46236</v>
      </c>
      <c r="F515" t="inlineStr">
        <is>
          <t>HALLANDS LÄN</t>
        </is>
      </c>
      <c r="G515" t="inlineStr">
        <is>
          <t>HYLTE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45589</v>
      </c>
      <c r="E516" s="1" t="n">
        <v>46236</v>
      </c>
      <c r="F516" t="inlineStr">
        <is>
          <t>HALLANDS LÄN</t>
        </is>
      </c>
      <c r="G516" t="inlineStr">
        <is>
          <t>HYLTE</t>
        </is>
      </c>
      <c r="H516" t="inlineStr">
        <is>
          <t>Kyrkan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46236</v>
      </c>
      <c r="F517" t="inlineStr">
        <is>
          <t>HALLANDS LÄN</t>
        </is>
      </c>
      <c r="G517" t="inlineStr">
        <is>
          <t>HYLTE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46236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46236</v>
      </c>
      <c r="F519" t="inlineStr">
        <is>
          <t>HALLANDS LÄN</t>
        </is>
      </c>
      <c r="G519" t="inlineStr">
        <is>
          <t>HYLTE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46236</v>
      </c>
      <c r="F520" t="inlineStr">
        <is>
          <t>HALLANDS LÄN</t>
        </is>
      </c>
      <c r="G520" t="inlineStr">
        <is>
          <t>HYLTE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46236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46236</v>
      </c>
      <c r="F522" t="inlineStr">
        <is>
          <t>HALLANDS LÄN</t>
        </is>
      </c>
      <c r="G522" t="inlineStr">
        <is>
          <t>HYLTE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35117-2022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44797</v>
      </c>
      <c r="E523" s="1" t="n">
        <v>46236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46236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46236</v>
      </c>
      <c r="F525" t="inlineStr">
        <is>
          <t>HALLANDS LÄN</t>
        </is>
      </c>
      <c r="G525" t="inlineStr">
        <is>
          <t>HYLTE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45741</v>
      </c>
      <c r="E526" s="1" t="n">
        <v>46236</v>
      </c>
      <c r="F526" t="inlineStr">
        <is>
          <t>HALLANDS LÄN</t>
        </is>
      </c>
      <c r="G526" t="inlineStr">
        <is>
          <t>HYLTE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44974</v>
      </c>
      <c r="E527" s="1" t="n">
        <v>46236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46236</v>
      </c>
      <c r="F528" t="inlineStr">
        <is>
          <t>HALLANDS LÄN</t>
        </is>
      </c>
      <c r="G528" t="inlineStr">
        <is>
          <t>HYLTE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46236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45609</v>
      </c>
      <c r="E530" s="1" t="n">
        <v>46236</v>
      </c>
      <c r="F530" t="inlineStr">
        <is>
          <t>HALLANDS LÄN</t>
        </is>
      </c>
      <c r="G530" t="inlineStr">
        <is>
          <t>HYLTE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46236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74307-2021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44559</v>
      </c>
      <c r="E532" s="1" t="n">
        <v>46236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46236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46236</v>
      </c>
      <c r="F534" t="inlineStr">
        <is>
          <t>HALLANDS LÄN</t>
        </is>
      </c>
      <c r="G534" t="inlineStr">
        <is>
          <t>HYLTE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46236</v>
      </c>
      <c r="F535" t="inlineStr">
        <is>
          <t>HALLANDS LÄN</t>
        </is>
      </c>
      <c r="G535" t="inlineStr">
        <is>
          <t>HYLTE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29434-2024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45483</v>
      </c>
      <c r="E536" s="1" t="n">
        <v>46236</v>
      </c>
      <c r="F536" t="inlineStr">
        <is>
          <t>HALLANDS LÄN</t>
        </is>
      </c>
      <c r="G536" t="inlineStr">
        <is>
          <t>HYLTE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46236</v>
      </c>
      <c r="F537" t="inlineStr">
        <is>
          <t>HALLANDS LÄN</t>
        </is>
      </c>
      <c r="G537" t="inlineStr">
        <is>
          <t>HYLTE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45104</v>
      </c>
      <c r="E538" s="1" t="n">
        <v>46236</v>
      </c>
      <c r="F538" t="inlineStr">
        <is>
          <t>HALLANDS LÄN</t>
        </is>
      </c>
      <c r="G538" t="inlineStr">
        <is>
          <t>HYLTE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46236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45743</v>
      </c>
      <c r="E540" s="1" t="n">
        <v>46236</v>
      </c>
      <c r="F540" t="inlineStr">
        <is>
          <t>HALLANDS LÄN</t>
        </is>
      </c>
      <c r="G540" t="inlineStr">
        <is>
          <t>HYLTE</t>
        </is>
      </c>
      <c r="H540" t="inlineStr">
        <is>
          <t>Bergvik skog väst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45590</v>
      </c>
      <c r="E541" s="1" t="n">
        <v>46236</v>
      </c>
      <c r="F541" t="inlineStr">
        <is>
          <t>HALLANDS LÄN</t>
        </is>
      </c>
      <c r="G541" t="inlineStr">
        <is>
          <t>HYLTE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8318-2024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46236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45743</v>
      </c>
      <c r="E543" s="1" t="n">
        <v>46236</v>
      </c>
      <c r="F543" t="inlineStr">
        <is>
          <t>HALLANDS LÄN</t>
        </is>
      </c>
      <c r="G543" t="inlineStr">
        <is>
          <t>HYLTE</t>
        </is>
      </c>
      <c r="H543" t="inlineStr">
        <is>
          <t>Bergvik skog väst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46236</v>
      </c>
      <c r="F544" t="inlineStr">
        <is>
          <t>HALLANDS LÄN</t>
        </is>
      </c>
      <c r="G544" t="inlineStr">
        <is>
          <t>HYLTE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45316</v>
      </c>
      <c r="E545" s="1" t="n">
        <v>46236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34899-2022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44796</v>
      </c>
      <c r="E546" s="1" t="n">
        <v>46236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41345-2024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45559</v>
      </c>
      <c r="E547" s="1" t="n">
        <v>46236</v>
      </c>
      <c r="F547" t="inlineStr">
        <is>
          <t>HALLANDS LÄN</t>
        </is>
      </c>
      <c r="G547" t="inlineStr">
        <is>
          <t>HYLTE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46236</v>
      </c>
      <c r="F548" t="inlineStr">
        <is>
          <t>HALLANDS LÄN</t>
        </is>
      </c>
      <c r="G548" t="inlineStr">
        <is>
          <t>HYLTE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14992-2025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46236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46947-2022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44851</v>
      </c>
      <c r="E550" s="1" t="n">
        <v>46236</v>
      </c>
      <c r="F550" t="inlineStr">
        <is>
          <t>HALLANDS LÄN</t>
        </is>
      </c>
      <c r="G550" t="inlineStr">
        <is>
          <t>HYLTE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58221-2022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44901</v>
      </c>
      <c r="E551" s="1" t="n">
        <v>46236</v>
      </c>
      <c r="F551" t="inlineStr">
        <is>
          <t>HALLANDS LÄN</t>
        </is>
      </c>
      <c r="G551" t="inlineStr">
        <is>
          <t>HYLTE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47910-2024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45589</v>
      </c>
      <c r="E552" s="1" t="n">
        <v>46236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45793</v>
      </c>
      <c r="E553" s="1" t="n">
        <v>46236</v>
      </c>
      <c r="F553" t="inlineStr">
        <is>
          <t>HALLANDS LÄN</t>
        </is>
      </c>
      <c r="G553" t="inlineStr">
        <is>
          <t>HYLTE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44899</v>
      </c>
      <c r="E554" s="1" t="n">
        <v>46236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45806</v>
      </c>
      <c r="E555" s="1" t="n">
        <v>46236</v>
      </c>
      <c r="F555" t="inlineStr">
        <is>
          <t>HALLANDS LÄN</t>
        </is>
      </c>
      <c r="G555" t="inlineStr">
        <is>
          <t>HYLTE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52625-2024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46236</v>
      </c>
      <c r="F556" t="inlineStr">
        <is>
          <t>HALLANDS LÄN</t>
        </is>
      </c>
      <c r="G556" t="inlineStr">
        <is>
          <t>HYLTE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45812</v>
      </c>
      <c r="E557" s="1" t="n">
        <v>46236</v>
      </c>
      <c r="F557" t="inlineStr">
        <is>
          <t>HALLANDS LÄN</t>
        </is>
      </c>
      <c r="G557" t="inlineStr">
        <is>
          <t>HYLTE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45730</v>
      </c>
      <c r="E558" s="1" t="n">
        <v>46236</v>
      </c>
      <c r="F558" t="inlineStr">
        <is>
          <t>HALLANDS LÄN</t>
        </is>
      </c>
      <c r="G558" t="inlineStr">
        <is>
          <t>HYLTE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45694</v>
      </c>
      <c r="E559" s="1" t="n">
        <v>46236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49914-2024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46236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46236</v>
      </c>
      <c r="F561" t="inlineStr">
        <is>
          <t>HALLANDS LÄN</t>
        </is>
      </c>
      <c r="G561" t="inlineStr">
        <is>
          <t>HYLTE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46236</v>
      </c>
      <c r="F562" t="inlineStr">
        <is>
          <t>HALLANDS LÄN</t>
        </is>
      </c>
      <c r="G562" t="inlineStr">
        <is>
          <t>HYLTE</t>
        </is>
      </c>
      <c r="I562" t="n">
        <v>11.1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46236</v>
      </c>
      <c r="F563" t="inlineStr">
        <is>
          <t>HALLANDS LÄN</t>
        </is>
      </c>
      <c r="G563" t="inlineStr">
        <is>
          <t>HYLTE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45820</v>
      </c>
      <c r="E564" s="1" t="n">
        <v>46236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44900</v>
      </c>
      <c r="E565" s="1" t="n">
        <v>46236</v>
      </c>
      <c r="F565" t="inlineStr">
        <is>
          <t>HALLANDS LÄN</t>
        </is>
      </c>
      <c r="G565" t="inlineStr">
        <is>
          <t>HYLTE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46236</v>
      </c>
      <c r="F566" t="inlineStr">
        <is>
          <t>HALLANDS LÄN</t>
        </is>
      </c>
      <c r="G566" t="inlineStr">
        <is>
          <t>HYLTE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46236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30572-2025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46236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45601</v>
      </c>
      <c r="E569" s="1" t="n">
        <v>46236</v>
      </c>
      <c r="F569" t="inlineStr">
        <is>
          <t>HALLANDS LÄN</t>
        </is>
      </c>
      <c r="G569" t="inlineStr">
        <is>
          <t>HYLTE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46236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45836</v>
      </c>
      <c r="E571" s="1" t="n">
        <v>46236</v>
      </c>
      <c r="F571" t="inlineStr">
        <is>
          <t>HALLANDS LÄN</t>
        </is>
      </c>
      <c r="G571" t="inlineStr">
        <is>
          <t>HYLTE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46236</v>
      </c>
      <c r="F572" t="inlineStr">
        <is>
          <t>HALLANDS LÄN</t>
        </is>
      </c>
      <c r="G572" t="inlineStr">
        <is>
          <t>HYLTE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33233-2025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45840</v>
      </c>
      <c r="E573" s="1" t="n">
        <v>46236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46236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33240-2025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45840</v>
      </c>
      <c r="E575" s="1" t="n">
        <v>46236</v>
      </c>
      <c r="F575" t="inlineStr">
        <is>
          <t>HALLANDS LÄN</t>
        </is>
      </c>
      <c r="G575" t="inlineStr">
        <is>
          <t>HYLTE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34272-2025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46236</v>
      </c>
      <c r="F576" t="inlineStr">
        <is>
          <t>HALLANDS LÄN</t>
        </is>
      </c>
      <c r="G576" t="inlineStr">
        <is>
          <t>HYLTE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34271-2025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45845</v>
      </c>
      <c r="E577" s="1" t="n">
        <v>46236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46236</v>
      </c>
      <c r="F578" t="inlineStr">
        <is>
          <t>HALLANDS LÄN</t>
        </is>
      </c>
      <c r="G578" t="inlineStr">
        <is>
          <t>HYLTE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46236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45846</v>
      </c>
      <c r="E580" s="1" t="n">
        <v>46236</v>
      </c>
      <c r="F580" t="inlineStr">
        <is>
          <t>HALLANDS LÄN</t>
        </is>
      </c>
      <c r="G580" t="inlineStr">
        <is>
          <t>HYLTE</t>
        </is>
      </c>
      <c r="H580" t="inlineStr">
        <is>
          <t>Kyrkan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46236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45847</v>
      </c>
      <c r="E582" s="1" t="n">
        <v>46236</v>
      </c>
      <c r="F582" t="inlineStr">
        <is>
          <t>HALLANDS LÄN</t>
        </is>
      </c>
      <c r="G582" t="inlineStr">
        <is>
          <t>HYLTE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34454-2025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46236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46236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45700</v>
      </c>
      <c r="E585" s="1" t="n">
        <v>46236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45700</v>
      </c>
      <c r="E586" s="1" t="n">
        <v>46236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45687</v>
      </c>
      <c r="E587" s="1" t="n">
        <v>46236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46236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65126-2023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45288</v>
      </c>
      <c r="E589" s="1" t="n">
        <v>46236</v>
      </c>
      <c r="F589" t="inlineStr">
        <is>
          <t>HALLANDS LÄN</t>
        </is>
      </c>
      <c r="G589" t="inlineStr">
        <is>
          <t>HYLTE</t>
        </is>
      </c>
      <c r="H589" t="inlineStr">
        <is>
          <t>Kommuner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45309</v>
      </c>
      <c r="E590" s="1" t="n">
        <v>46236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16295-2024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45407</v>
      </c>
      <c r="E591" s="1" t="n">
        <v>46236</v>
      </c>
      <c r="F591" t="inlineStr">
        <is>
          <t>HALLANDS LÄN</t>
        </is>
      </c>
      <c r="G591" t="inlineStr">
        <is>
          <t>HYLTE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45677</v>
      </c>
      <c r="E592" s="1" t="n">
        <v>46236</v>
      </c>
      <c r="F592" t="inlineStr">
        <is>
          <t>HALLANDS LÄN</t>
        </is>
      </c>
      <c r="G592" t="inlineStr">
        <is>
          <t>HYLTE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60181-2023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45257</v>
      </c>
      <c r="E593" s="1" t="n">
        <v>46236</v>
      </c>
      <c r="F593" t="inlineStr">
        <is>
          <t>HALLANDS LÄN</t>
        </is>
      </c>
      <c r="G593" t="inlineStr">
        <is>
          <t>HYLTE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14584-2024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45395</v>
      </c>
      <c r="E594" s="1" t="n">
        <v>46236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44671</v>
      </c>
      <c r="E595" s="1" t="n">
        <v>46236</v>
      </c>
      <c r="F595" t="inlineStr">
        <is>
          <t>HALLANDS LÄN</t>
        </is>
      </c>
      <c r="G595" t="inlineStr">
        <is>
          <t>HYLTE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46236</v>
      </c>
      <c r="F596" t="inlineStr">
        <is>
          <t>HALLANDS LÄN</t>
        </is>
      </c>
      <c r="G596" t="inlineStr">
        <is>
          <t>HYLTE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63008-2023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45272</v>
      </c>
      <c r="E597" s="1" t="n">
        <v>46236</v>
      </c>
      <c r="F597" t="inlineStr">
        <is>
          <t>HALLANDS LÄN</t>
        </is>
      </c>
      <c r="G597" t="inlineStr">
        <is>
          <t>HYLTE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57383-2021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44483</v>
      </c>
      <c r="E598" s="1" t="n">
        <v>46236</v>
      </c>
      <c r="F598" t="inlineStr">
        <is>
          <t>HALLANDS LÄN</t>
        </is>
      </c>
      <c r="G598" t="inlineStr">
        <is>
          <t>HYLTE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58241-2023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45245</v>
      </c>
      <c r="E599" s="1" t="n">
        <v>46236</v>
      </c>
      <c r="F599" t="inlineStr">
        <is>
          <t>HALLANDS LÄN</t>
        </is>
      </c>
      <c r="G599" t="inlineStr">
        <is>
          <t>HYLTE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45679</v>
      </c>
      <c r="E600" s="1" t="n">
        <v>46236</v>
      </c>
      <c r="F600" t="inlineStr">
        <is>
          <t>HALLANDS LÄN</t>
        </is>
      </c>
      <c r="G600" t="inlineStr">
        <is>
          <t>HYLTE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46236</v>
      </c>
      <c r="F601" t="inlineStr">
        <is>
          <t>HALLANDS LÄN</t>
        </is>
      </c>
      <c r="G601" t="inlineStr">
        <is>
          <t>HYLTE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46236</v>
      </c>
      <c r="F602" t="inlineStr">
        <is>
          <t>HALLANDS LÄN</t>
        </is>
      </c>
      <c r="G602" t="inlineStr">
        <is>
          <t>HYLTE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22184-2022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44712</v>
      </c>
      <c r="E603" s="1" t="n">
        <v>46236</v>
      </c>
      <c r="F603" t="inlineStr">
        <is>
          <t>HALLANDS LÄN</t>
        </is>
      </c>
      <c r="G603" t="inlineStr">
        <is>
          <t>HYLTE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34337-2023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45131</v>
      </c>
      <c r="E604" s="1" t="n">
        <v>46236</v>
      </c>
      <c r="F604" t="inlineStr">
        <is>
          <t>HALLANDS LÄN</t>
        </is>
      </c>
      <c r="G604" t="inlineStr">
        <is>
          <t>HYLTE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45176</v>
      </c>
      <c r="E605" s="1" t="n">
        <v>46236</v>
      </c>
      <c r="F605" t="inlineStr">
        <is>
          <t>HALLANDS LÄN</t>
        </is>
      </c>
      <c r="G605" t="inlineStr">
        <is>
          <t>HYLTE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45372</v>
      </c>
      <c r="E606" s="1" t="n">
        <v>46236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9613-2024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45361</v>
      </c>
      <c r="E607" s="1" t="n">
        <v>46236</v>
      </c>
      <c r="F607" t="inlineStr">
        <is>
          <t>HALLANDS LÄN</t>
        </is>
      </c>
      <c r="G607" t="inlineStr">
        <is>
          <t>HYLTE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37752-2024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46236</v>
      </c>
      <c r="F608" t="inlineStr">
        <is>
          <t>HALLANDS LÄN</t>
        </is>
      </c>
      <c r="G608" t="inlineStr">
        <is>
          <t>HYLTE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60176-2023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45257</v>
      </c>
      <c r="E609" s="1" t="n">
        <v>46236</v>
      </c>
      <c r="F609" t="inlineStr">
        <is>
          <t>HALLANDS LÄN</t>
        </is>
      </c>
      <c r="G609" t="inlineStr">
        <is>
          <t>HYLTE</t>
        </is>
      </c>
      <c r="H609" t="inlineStr">
        <is>
          <t>Kommuner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45727</v>
      </c>
      <c r="E610" s="1" t="n">
        <v>46236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61843-2022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44917</v>
      </c>
      <c r="E611" s="1" t="n">
        <v>46236</v>
      </c>
      <c r="F611" t="inlineStr">
        <is>
          <t>HALLANDS LÄN</t>
        </is>
      </c>
      <c r="G611" t="inlineStr">
        <is>
          <t>HYLTE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46236</v>
      </c>
      <c r="F612" t="inlineStr">
        <is>
          <t>HALLANDS LÄN</t>
        </is>
      </c>
      <c r="G612" t="inlineStr">
        <is>
          <t>HYLTE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45672</v>
      </c>
      <c r="E613" s="1" t="n">
        <v>46236</v>
      </c>
      <c r="F613" t="inlineStr">
        <is>
          <t>HALLANDS LÄN</t>
        </is>
      </c>
      <c r="G613" t="inlineStr">
        <is>
          <t>HYLTE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48044-2023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45204</v>
      </c>
      <c r="E614" s="1" t="n">
        <v>46236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46236</v>
      </c>
      <c r="F615" t="inlineStr">
        <is>
          <t>HALLANDS LÄN</t>
        </is>
      </c>
      <c r="G615" t="inlineStr">
        <is>
          <t>HYLTE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45245</v>
      </c>
      <c r="E616" s="1" t="n">
        <v>46236</v>
      </c>
      <c r="F616" t="inlineStr">
        <is>
          <t>HALLANDS LÄN</t>
        </is>
      </c>
      <c r="G616" t="inlineStr">
        <is>
          <t>HYLTE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16410-2022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44671</v>
      </c>
      <c r="E617" s="1" t="n">
        <v>46236</v>
      </c>
      <c r="F617" t="inlineStr">
        <is>
          <t>HALLANDS LÄN</t>
        </is>
      </c>
      <c r="G617" t="inlineStr">
        <is>
          <t>HYLTE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46236</v>
      </c>
      <c r="F618" t="inlineStr">
        <is>
          <t>HALLANDS LÄN</t>
        </is>
      </c>
      <c r="G618" t="inlineStr">
        <is>
          <t>HYLTE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44592</v>
      </c>
      <c r="E619" s="1" t="n">
        <v>46236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45293</v>
      </c>
      <c r="E620" s="1" t="n">
        <v>46236</v>
      </c>
      <c r="F620" t="inlineStr">
        <is>
          <t>HALLANDS LÄN</t>
        </is>
      </c>
      <c r="G620" t="inlineStr">
        <is>
          <t>HYLTE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55861-2024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45623</v>
      </c>
      <c r="E621" s="1" t="n">
        <v>46236</v>
      </c>
      <c r="F621" t="inlineStr">
        <is>
          <t>HALLANDS LÄN</t>
        </is>
      </c>
      <c r="G621" t="inlineStr">
        <is>
          <t>HYLTE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46846-2023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45199</v>
      </c>
      <c r="E622" s="1" t="n">
        <v>46236</v>
      </c>
      <c r="F622" t="inlineStr">
        <is>
          <t>HALLANDS LÄN</t>
        </is>
      </c>
      <c r="G622" t="inlineStr">
        <is>
          <t>HYLTE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45769</v>
      </c>
      <c r="E623" s="1" t="n">
        <v>46236</v>
      </c>
      <c r="F623" t="inlineStr">
        <is>
          <t>HALLANDS LÄN</t>
        </is>
      </c>
      <c r="G623" t="inlineStr">
        <is>
          <t>HYLTE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14015-2024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46236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14585-2024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45395</v>
      </c>
      <c r="E625" s="1" t="n">
        <v>46236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47998-2024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45589</v>
      </c>
      <c r="E626" s="1" t="n">
        <v>46236</v>
      </c>
      <c r="F626" t="inlineStr">
        <is>
          <t>HALLANDS LÄN</t>
        </is>
      </c>
      <c r="G626" t="inlineStr">
        <is>
          <t>HYLTE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38381-2024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45546</v>
      </c>
      <c r="E627" s="1" t="n">
        <v>46236</v>
      </c>
      <c r="F627" t="inlineStr">
        <is>
          <t>HALLANDS LÄN</t>
        </is>
      </c>
      <c r="G627" t="inlineStr">
        <is>
          <t>HYLTE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20879-2022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44701</v>
      </c>
      <c r="E628" s="1" t="n">
        <v>46236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35175-2023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45145</v>
      </c>
      <c r="E629" s="1" t="n">
        <v>46236</v>
      </c>
      <c r="F629" t="inlineStr">
        <is>
          <t>HALLANDS LÄN</t>
        </is>
      </c>
      <c r="G629" t="inlineStr">
        <is>
          <t>HYLTE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32992-2024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45517</v>
      </c>
      <c r="E630" s="1" t="n">
        <v>46236</v>
      </c>
      <c r="F630" t="inlineStr">
        <is>
          <t>HALLANDS LÄN</t>
        </is>
      </c>
      <c r="G630" t="inlineStr">
        <is>
          <t>HYLTE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55116-2023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46236</v>
      </c>
      <c r="F631" t="inlineStr">
        <is>
          <t>HALLANDS LÄN</t>
        </is>
      </c>
      <c r="G631" t="inlineStr">
        <is>
          <t>HYLTE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46236</v>
      </c>
      <c r="F632" t="inlineStr">
        <is>
          <t>HALLANDS LÄN</t>
        </is>
      </c>
      <c r="G632" t="inlineStr">
        <is>
          <t>HYLTE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45672</v>
      </c>
      <c r="E633" s="1" t="n">
        <v>46236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45672</v>
      </c>
      <c r="E634" s="1" t="n">
        <v>46236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57397-2021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44483</v>
      </c>
      <c r="E635" s="1" t="n">
        <v>46236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55792-2021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44476</v>
      </c>
      <c r="E636" s="1" t="n">
        <v>46236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44964</v>
      </c>
      <c r="E637" s="1" t="n">
        <v>46236</v>
      </c>
      <c r="F637" t="inlineStr">
        <is>
          <t>HALLANDS LÄN</t>
        </is>
      </c>
      <c r="G637" t="inlineStr">
        <is>
          <t>HYLTE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13245-2025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45735</v>
      </c>
      <c r="E638" s="1" t="n">
        <v>46236</v>
      </c>
      <c r="F638" t="inlineStr">
        <is>
          <t>HALLANDS LÄN</t>
        </is>
      </c>
      <c r="G638" t="inlineStr">
        <is>
          <t>HYLTE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46236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46236</v>
      </c>
      <c r="F640" t="inlineStr">
        <is>
          <t>HALLANDS LÄN</t>
        </is>
      </c>
      <c r="G640" t="inlineStr">
        <is>
          <t>HYLTE</t>
        </is>
      </c>
      <c r="I640" t="n">
        <v>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63808-2021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44508</v>
      </c>
      <c r="E641" s="1" t="n">
        <v>46236</v>
      </c>
      <c r="F641" t="inlineStr">
        <is>
          <t>HALLANDS LÄN</t>
        </is>
      </c>
      <c r="G641" t="inlineStr">
        <is>
          <t>HYLTE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55865-2024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45623</v>
      </c>
      <c r="E642" s="1" t="n">
        <v>46236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59353-2023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45252</v>
      </c>
      <c r="E643" s="1" t="n">
        <v>46236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47996-2024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45589</v>
      </c>
      <c r="E644" s="1" t="n">
        <v>46236</v>
      </c>
      <c r="F644" t="inlineStr">
        <is>
          <t>HALLANDS LÄN</t>
        </is>
      </c>
      <c r="G644" t="inlineStr">
        <is>
          <t>HYLTE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45190</v>
      </c>
      <c r="E645" s="1" t="n">
        <v>46236</v>
      </c>
      <c r="F645" t="inlineStr">
        <is>
          <t>HALLANDS LÄN</t>
        </is>
      </c>
      <c r="G645" t="inlineStr">
        <is>
          <t>HYLTE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44817</v>
      </c>
      <c r="E646" s="1" t="n">
        <v>46236</v>
      </c>
      <c r="F646" t="inlineStr">
        <is>
          <t>HALLANDS LÄN</t>
        </is>
      </c>
      <c r="G646" t="inlineStr">
        <is>
          <t>HYLTE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45574</v>
      </c>
      <c r="E647" s="1" t="n">
        <v>46236</v>
      </c>
      <c r="F647" t="inlineStr">
        <is>
          <t>HALLANDS LÄN</t>
        </is>
      </c>
      <c r="G647" t="inlineStr">
        <is>
          <t>HYLTE</t>
        </is>
      </c>
      <c r="I647" t="n">
        <v>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38372-2024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45545</v>
      </c>
      <c r="E648" s="1" t="n">
        <v>46236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46845-2023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45199</v>
      </c>
      <c r="E649" s="1" t="n">
        <v>46236</v>
      </c>
      <c r="F649" t="inlineStr">
        <is>
          <t>HALLANDS LÄN</t>
        </is>
      </c>
      <c r="G649" t="inlineStr">
        <is>
          <t>HYLTE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46148-2023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45190</v>
      </c>
      <c r="E650" s="1" t="n">
        <v>46236</v>
      </c>
      <c r="F650" t="inlineStr">
        <is>
          <t>HALLANDS LÄN</t>
        </is>
      </c>
      <c r="G650" t="inlineStr">
        <is>
          <t>HYLTE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57211-2022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44889</v>
      </c>
      <c r="E651" s="1" t="n">
        <v>46236</v>
      </c>
      <c r="F651" t="inlineStr">
        <is>
          <t>HALLANDS LÄN</t>
        </is>
      </c>
      <c r="G651" t="inlineStr">
        <is>
          <t>HYLTE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55858-2024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45623</v>
      </c>
      <c r="E652" s="1" t="n">
        <v>46236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37324-2025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45876</v>
      </c>
      <c r="E653" s="1" t="n">
        <v>46236</v>
      </c>
      <c r="F653" t="inlineStr">
        <is>
          <t>HALLANDS LÄN</t>
        </is>
      </c>
      <c r="G653" t="inlineStr">
        <is>
          <t>HYLTE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45880</v>
      </c>
      <c r="E654" s="1" t="n">
        <v>46236</v>
      </c>
      <c r="F654" t="inlineStr">
        <is>
          <t>HALLANDS LÄN</t>
        </is>
      </c>
      <c r="G654" t="inlineStr">
        <is>
          <t>HYLTE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45880</v>
      </c>
      <c r="E655" s="1" t="n">
        <v>46236</v>
      </c>
      <c r="F655" t="inlineStr">
        <is>
          <t>HALLANDS LÄN</t>
        </is>
      </c>
      <c r="G655" t="inlineStr">
        <is>
          <t>HYLTE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45877</v>
      </c>
      <c r="E656" s="1" t="n">
        <v>46236</v>
      </c>
      <c r="F656" t="inlineStr">
        <is>
          <t>HALLANDS LÄN</t>
        </is>
      </c>
      <c r="G656" t="inlineStr">
        <is>
          <t>HYLTE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37673-2025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46236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45880</v>
      </c>
      <c r="E658" s="1" t="n">
        <v>46236</v>
      </c>
      <c r="F658" t="inlineStr">
        <is>
          <t>HALLANDS LÄN</t>
        </is>
      </c>
      <c r="G658" t="inlineStr">
        <is>
          <t>HYLTE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1404-2022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44631</v>
      </c>
      <c r="E659" s="1" t="n">
        <v>46236</v>
      </c>
      <c r="F659" t="inlineStr">
        <is>
          <t>HALLANDS LÄN</t>
        </is>
      </c>
      <c r="G659" t="inlineStr">
        <is>
          <t>HYLTE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1038-2022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44613</v>
      </c>
      <c r="E660" s="1" t="n">
        <v>46236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953-2022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44608</v>
      </c>
      <c r="E661" s="1" t="n">
        <v>46236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1388-2022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44631</v>
      </c>
      <c r="E662" s="1" t="n">
        <v>46236</v>
      </c>
      <c r="F662" t="inlineStr">
        <is>
          <t>HALLANDS LÄN</t>
        </is>
      </c>
      <c r="G662" t="inlineStr">
        <is>
          <t>HYLTE</t>
        </is>
      </c>
      <c r="I662" t="n">
        <v>61.4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1386-2022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44631</v>
      </c>
      <c r="E663" s="1" t="n">
        <v>46236</v>
      </c>
      <c r="F663" t="inlineStr">
        <is>
          <t>HALLANDS LÄN</t>
        </is>
      </c>
      <c r="G663" t="inlineStr">
        <is>
          <t>HYLTE</t>
        </is>
      </c>
      <c r="I663" t="n">
        <v>26.3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4822-2024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45614</v>
      </c>
      <c r="E664" s="1" t="n">
        <v>46236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46236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46236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46236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46236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46236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46236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46236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46236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46236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46236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46236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46236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46236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46236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46236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46236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46236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46236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46236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46236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46236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46236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46236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2026-08-02T01:58:22Z</dcterms:created>
  <dcterms:modified xmlns:dcterms="http://purl.org/dc/terms/" xmlns:xsi="http://www.w3.org/2001/XMLSchema-instance" xsi:type="dcterms:W3CDTF">2026-08-02T01:58:23Z</dcterms:modified>
</cp:coreProperties>
</file>