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46312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46312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46312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46312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46312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46312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46312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46312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42030-2026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46312</v>
      </c>
      <c r="F17" t="inlineStr">
        <is>
          <t>HALLANDS LÄN</t>
        </is>
      </c>
      <c r="G17" t="inlineStr">
        <is>
          <t>HYLTE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Revlummer</t>
        </is>
      </c>
      <c r="W17">
        <f>HYPERLINK("https://klasma.github.io/Logging_1315/artfynd/A 42030-2026 artfynd.xlsx", "A 42030-2026")</f>
        <v/>
      </c>
      <c r="X17">
        <f>HYPERLINK("https://klasma.github.io/Logging_1315/kartor/A 42030-2026 karta.png", "A 42030-2026")</f>
        <v/>
      </c>
      <c r="Y17">
        <f>HYPERLINK("https://klasma.github.io/Logging_1315/kartor_geotiff/A 42030-2026 georefererad karta.tif", "A 42030-2026")</f>
        <v/>
      </c>
      <c r="AA17">
        <f>HYPERLINK("https://klasma.github.io/Logging_1315/klagomål/A 42030-2026 FSC-klagomål.docx", "A 42030-2026")</f>
        <v/>
      </c>
      <c r="AB17">
        <f>HYPERLINK("https://klasma.github.io/Logging_1315/klagomålsmail/A 42030-2026 FSC-klagomål mail.docx", "A 42030-2026")</f>
        <v/>
      </c>
      <c r="AC17">
        <f>HYPERLINK("https://klasma.github.io/Logging_1315/tillsyn/A 42030-2026 tillsynsbegäran.docx", "A 42030-2026")</f>
        <v/>
      </c>
      <c r="AD17">
        <f>HYPERLINK("https://klasma.github.io/Logging_1315/tillsynsmail/A 42030-2026 tillsynsbegäran mail.docx", "A 42030-2026")</f>
        <v/>
      </c>
      <c r="AE17">
        <f>HYPERLINK("https://klasma.github.io/Logging_1315/fåglar/A 42030-2026 prioriterade fågelarter.docx", "A 42030-2026")</f>
        <v/>
      </c>
    </row>
    <row r="18" ht="15" customHeight="1">
      <c r="A18" t="inlineStr">
        <is>
          <t>A 33637-2025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46312</v>
      </c>
      <c r="F18" t="inlineStr">
        <is>
          <t>HALLANDS LÄN</t>
        </is>
      </c>
      <c r="G18" t="inlineStr">
        <is>
          <t>HYLTE</t>
        </is>
      </c>
      <c r="I18" t="n">
        <v>0.5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Kopparödla</t>
        </is>
      </c>
      <c r="W18">
        <f>HYPERLINK("https://klasma.github.io/Logging_1315/artfynd/A 33637-2025 artfynd.xlsx", "A 33637-2025")</f>
        <v/>
      </c>
      <c r="X18">
        <f>HYPERLINK("https://klasma.github.io/Logging_1315/kartor/A 33637-2025 karta.png", "A 33637-2025")</f>
        <v/>
      </c>
      <c r="Y18">
        <f>HYPERLINK("https://klasma.github.io/Logging_1315/kartor_geotiff/A 33637-2025 georefererad karta.tif", "A 33637-2025")</f>
        <v/>
      </c>
      <c r="Z18">
        <f>HYPERLINK("https://klasma.github.io/Logging_1315/knärot/A 33637-2025 karta knärot.png", "A 33637-2025")</f>
        <v/>
      </c>
      <c r="AA18">
        <f>HYPERLINK("https://klasma.github.io/Logging_1315/klagomål/A 33637-2025 FSC-klagomål.docx", "A 33637-2025")</f>
        <v/>
      </c>
      <c r="AB18">
        <f>HYPERLINK("https://klasma.github.io/Logging_1315/klagomålsmail/A 33637-2025 FSC-klagomål mail.docx", "A 33637-2025")</f>
        <v/>
      </c>
      <c r="AC18">
        <f>HYPERLINK("https://klasma.github.io/Logging_1315/tillsyn/A 33637-2025 tillsynsbegäran.docx", "A 33637-2025")</f>
        <v/>
      </c>
      <c r="AD18">
        <f>HYPERLINK("https://klasma.github.io/Logging_1315/tillsynsmail/A 33637-2025 tillsynsbegäran mail.docx", "A 33637-2025")</f>
        <v/>
      </c>
    </row>
    <row r="19" ht="15" customHeight="1">
      <c r="A19" t="inlineStr">
        <is>
          <t>A 28111-2023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46312</v>
      </c>
      <c r="F19" t="inlineStr">
        <is>
          <t>HALLANDS LÄN</t>
        </is>
      </c>
      <c r="G19" t="inlineStr">
        <is>
          <t>HYLTE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Pärluggla
Orre</t>
        </is>
      </c>
      <c r="W19">
        <f>HYPERLINK("https://klasma.github.io/Logging_1315/artfynd/A 28111-2023 artfynd.xlsx", "A 28111-2023")</f>
        <v/>
      </c>
      <c r="X19">
        <f>HYPERLINK("https://klasma.github.io/Logging_1315/kartor/A 28111-2023 karta.png", "A 28111-2023")</f>
        <v/>
      </c>
      <c r="Y19">
        <f>HYPERLINK("https://klasma.github.io/Logging_1315/kartor_geotiff/A 28111-2023 georefererad karta.tif", "A 28111-2023")</f>
        <v/>
      </c>
      <c r="AA19">
        <f>HYPERLINK("https://klasma.github.io/Logging_1315/klagomål/A 28111-2023 FSC-klagomål.docx", "A 28111-2023")</f>
        <v/>
      </c>
      <c r="AB19">
        <f>HYPERLINK("https://klasma.github.io/Logging_1315/klagomålsmail/A 28111-2023 FSC-klagomål mail.docx", "A 28111-2023")</f>
        <v/>
      </c>
      <c r="AC19">
        <f>HYPERLINK("https://klasma.github.io/Logging_1315/tillsyn/A 28111-2023 tillsynsbegäran.docx", "A 28111-2023")</f>
        <v/>
      </c>
      <c r="AD19">
        <f>HYPERLINK("https://klasma.github.io/Logging_1315/tillsynsmail/A 28111-2023 tillsynsbegäran mail.docx", "A 28111-2023")</f>
        <v/>
      </c>
      <c r="AE19">
        <f>HYPERLINK("https://klasma.github.io/Logging_1315/fåglar/A 28111-2023 prioriterade fågelarter.docx", "A 28111-2023")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46312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46312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46312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46312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46312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46312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46312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652-2024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46312</v>
      </c>
      <c r="F28" t="inlineStr">
        <is>
          <t>HALLANDS LÄN</t>
        </is>
      </c>
      <c r="G28" t="inlineStr">
        <is>
          <t>HYLTE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HYPERLINK("https://klasma.github.io/Logging_1315/artfynd/A 652-2024 artfynd.xlsx", "A 652-2024")</f>
        <v/>
      </c>
      <c r="X28">
        <f>HYPERLINK("https://klasma.github.io/Logging_1315/kartor/A 652-2024 karta.png", "A 652-2024")</f>
        <v/>
      </c>
      <c r="Y28">
        <f>HYPERLINK("https://klasma.github.io/Logging_1315/kartor_geotiff/A 652-2024 georefererad karta.tif", "A 652-2024")</f>
        <v/>
      </c>
      <c r="AA28">
        <f>HYPERLINK("https://klasma.github.io/Logging_1315/klagomål/A 652-2024 FSC-klagomål.docx", "A 652-2024")</f>
        <v/>
      </c>
      <c r="AB28">
        <f>HYPERLINK("https://klasma.github.io/Logging_1315/klagomålsmail/A 652-2024 FSC-klagomål mail.docx", "A 652-2024")</f>
        <v/>
      </c>
      <c r="AC28">
        <f>HYPERLINK("https://klasma.github.io/Logging_1315/tillsyn/A 652-2024 tillsynsbegäran.docx", "A 652-2024")</f>
        <v/>
      </c>
      <c r="AD28">
        <f>HYPERLINK("https://klasma.github.io/Logging_1315/tillsynsmail/A 652-2024 tillsynsbegäran mail.docx", "A 652-2024")</f>
        <v/>
      </c>
      <c r="AE28">
        <f>HYPERLINK("https://klasma.github.io/Logging_1315/fåglar/A 652-2024 prioriterade fågelarter.docx", "A 652-2024")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46312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46312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46312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46312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46312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46312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46312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46312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46312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46312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46312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46312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46312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46312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46312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46312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44624</v>
      </c>
      <c r="E45" s="1" t="n">
        <v>46312</v>
      </c>
      <c r="F45" t="inlineStr">
        <is>
          <t>HALLANDS LÄN</t>
        </is>
      </c>
      <c r="G45" t="inlineStr">
        <is>
          <t>HYLTE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46312</v>
      </c>
      <c r="F46" t="inlineStr">
        <is>
          <t>HALLANDS LÄN</t>
        </is>
      </c>
      <c r="G46" t="inlineStr">
        <is>
          <t>HYLTE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44638</v>
      </c>
      <c r="E47" s="1" t="n">
        <v>46312</v>
      </c>
      <c r="F47" t="inlineStr">
        <is>
          <t>HALLANDS LÄN</t>
        </is>
      </c>
      <c r="G47" t="inlineStr">
        <is>
          <t>HYLTE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46312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46312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46312</v>
      </c>
      <c r="F50" t="inlineStr">
        <is>
          <t>HALLANDS LÄN</t>
        </is>
      </c>
      <c r="G50" t="inlineStr">
        <is>
          <t>HYLTE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46312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46312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46312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46312</v>
      </c>
      <c r="F54" t="inlineStr">
        <is>
          <t>HALLANDS LÄN</t>
        </is>
      </c>
      <c r="G54" t="inlineStr">
        <is>
          <t>HYLTE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44651</v>
      </c>
      <c r="E55" s="1" t="n">
        <v>46312</v>
      </c>
      <c r="F55" t="inlineStr">
        <is>
          <t>HALLANDS LÄN</t>
        </is>
      </c>
      <c r="G55" t="inlineStr">
        <is>
          <t>HYLTE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46312</v>
      </c>
      <c r="F56" t="inlineStr">
        <is>
          <t>HALLANDS LÄN</t>
        </is>
      </c>
      <c r="G56" t="inlineStr">
        <is>
          <t>HYLTE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46312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46312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46312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46312</v>
      </c>
      <c r="F60" t="inlineStr">
        <is>
          <t>HALLANDS LÄN</t>
        </is>
      </c>
      <c r="G60" t="inlineStr">
        <is>
          <t>HYLTE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46312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46312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46312</v>
      </c>
      <c r="F63" t="inlineStr">
        <is>
          <t>HALLANDS LÄN</t>
        </is>
      </c>
      <c r="G63" t="inlineStr">
        <is>
          <t>HYLTE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46312</v>
      </c>
      <c r="F64" t="inlineStr">
        <is>
          <t>HALLANDS LÄN</t>
        </is>
      </c>
      <c r="G64" t="inlineStr">
        <is>
          <t>HYLTE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46312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44644</v>
      </c>
      <c r="E66" s="1" t="n">
        <v>46312</v>
      </c>
      <c r="F66" t="inlineStr">
        <is>
          <t>HALLANDS LÄN</t>
        </is>
      </c>
      <c r="G66" t="inlineStr">
        <is>
          <t>HYLTE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46312</v>
      </c>
      <c r="F67" t="inlineStr">
        <is>
          <t>HALLANDS LÄN</t>
        </is>
      </c>
      <c r="G67" t="inlineStr">
        <is>
          <t>HYLTE</t>
        </is>
      </c>
      <c r="H67" t="inlineStr">
        <is>
          <t>Bergvik skog väst AB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44778</v>
      </c>
      <c r="E68" s="1" t="n">
        <v>46312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46312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46312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44634</v>
      </c>
      <c r="E71" s="1" t="n">
        <v>46312</v>
      </c>
      <c r="F71" t="inlineStr">
        <is>
          <t>HALLANDS LÄN</t>
        </is>
      </c>
      <c r="G71" t="inlineStr">
        <is>
          <t>HYLTE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46312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44714</v>
      </c>
      <c r="E73" s="1" t="n">
        <v>46312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46312</v>
      </c>
      <c r="F74" t="inlineStr">
        <is>
          <t>HALLANDS LÄN</t>
        </is>
      </c>
      <c r="G74" t="inlineStr">
        <is>
          <t>HYLTE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46312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44801</v>
      </c>
      <c r="E76" s="1" t="n">
        <v>46312</v>
      </c>
      <c r="F76" t="inlineStr">
        <is>
          <t>HALLANDS LÄN</t>
        </is>
      </c>
      <c r="G76" t="inlineStr">
        <is>
          <t>HYLTE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46312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46312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67290-2021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46312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44500</v>
      </c>
      <c r="E80" s="1" t="n">
        <v>46312</v>
      </c>
      <c r="F80" t="inlineStr">
        <is>
          <t>HALLANDS LÄN</t>
        </is>
      </c>
      <c r="G80" t="inlineStr">
        <is>
          <t>HYLTE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46312</v>
      </c>
      <c r="F81" t="inlineStr">
        <is>
          <t>HALLANDS LÄN</t>
        </is>
      </c>
      <c r="G81" t="inlineStr">
        <is>
          <t>HYLTE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46312</v>
      </c>
      <c r="F82" t="inlineStr">
        <is>
          <t>HALLANDS LÄN</t>
        </is>
      </c>
      <c r="G82" t="inlineStr">
        <is>
          <t>HYLTE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46312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44659</v>
      </c>
      <c r="E84" s="1" t="n">
        <v>46312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46312</v>
      </c>
      <c r="F85" t="inlineStr">
        <is>
          <t>HALLANDS LÄN</t>
        </is>
      </c>
      <c r="G85" t="inlineStr">
        <is>
          <t>HYLTE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46312</v>
      </c>
      <c r="F86" t="inlineStr">
        <is>
          <t>HALLANDS LÄN</t>
        </is>
      </c>
      <c r="G86" t="inlineStr">
        <is>
          <t>HYLTE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46312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46312</v>
      </c>
      <c r="F88" t="inlineStr">
        <is>
          <t>HALLANDS LÄN</t>
        </is>
      </c>
      <c r="G88" t="inlineStr">
        <is>
          <t>HYLTE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46312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46312</v>
      </c>
      <c r="F90" t="inlineStr">
        <is>
          <t>HALLANDS LÄN</t>
        </is>
      </c>
      <c r="G90" t="inlineStr">
        <is>
          <t>HYLTE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46312</v>
      </c>
      <c r="F91" t="inlineStr">
        <is>
          <t>HALLANDS LÄN</t>
        </is>
      </c>
      <c r="G91" t="inlineStr">
        <is>
          <t>HYLTE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46312</v>
      </c>
      <c r="F92" t="inlineStr">
        <is>
          <t>HALLANDS LÄN</t>
        </is>
      </c>
      <c r="G92" t="inlineStr">
        <is>
          <t>HYLTE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46312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46312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46312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45568</v>
      </c>
      <c r="E96" s="1" t="n">
        <v>46312</v>
      </c>
      <c r="F96" t="inlineStr">
        <is>
          <t>HALLANDS LÄN</t>
        </is>
      </c>
      <c r="G96" t="inlineStr">
        <is>
          <t>HYLTE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45062</v>
      </c>
      <c r="E97" s="1" t="n">
        <v>46312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58061-2022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46312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46312</v>
      </c>
      <c r="F99" t="inlineStr">
        <is>
          <t>HALLANDS LÄN</t>
        </is>
      </c>
      <c r="G99" t="inlineStr">
        <is>
          <t>HYLTE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46312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74307-2021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44559</v>
      </c>
      <c r="E101" s="1" t="n">
        <v>46312</v>
      </c>
      <c r="F101" t="inlineStr">
        <is>
          <t>HALLANDS LÄN</t>
        </is>
      </c>
      <c r="G101" t="inlineStr">
        <is>
          <t>HYLTE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46312</v>
      </c>
      <c r="F102" t="inlineStr">
        <is>
          <t>HALLANDS LÄN</t>
        </is>
      </c>
      <c r="G102" t="inlineStr">
        <is>
          <t>HYLTE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46312</v>
      </c>
      <c r="F103" t="inlineStr">
        <is>
          <t>HALLANDS LÄN</t>
        </is>
      </c>
      <c r="G103" t="inlineStr">
        <is>
          <t>HYLTE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46312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45258</v>
      </c>
      <c r="E105" s="1" t="n">
        <v>46312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46312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46312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46312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46312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46312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46312</v>
      </c>
      <c r="F111" t="inlineStr">
        <is>
          <t>HALLANDS LÄN</t>
        </is>
      </c>
      <c r="G111" t="inlineStr">
        <is>
          <t>HYLTE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46312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44910</v>
      </c>
      <c r="E113" s="1" t="n">
        <v>46312</v>
      </c>
      <c r="F113" t="inlineStr">
        <is>
          <t>HALLANDS LÄN</t>
        </is>
      </c>
      <c r="G113" t="inlineStr">
        <is>
          <t>HYLTE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46312</v>
      </c>
      <c r="F114" t="inlineStr">
        <is>
          <t>HALLANDS LÄN</t>
        </is>
      </c>
      <c r="G114" t="inlineStr">
        <is>
          <t>HYLTE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45104</v>
      </c>
      <c r="E115" s="1" t="n">
        <v>46312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46312</v>
      </c>
      <c r="F116" t="inlineStr">
        <is>
          <t>HALLANDS LÄN</t>
        </is>
      </c>
      <c r="G116" t="inlineStr">
        <is>
          <t>HYLTE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46312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46312</v>
      </c>
      <c r="F118" t="inlineStr">
        <is>
          <t>HALLANDS LÄN</t>
        </is>
      </c>
      <c r="G118" t="inlineStr">
        <is>
          <t>HYLTE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44868</v>
      </c>
      <c r="E119" s="1" t="n">
        <v>46312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46312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46312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46312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44719</v>
      </c>
      <c r="E123" s="1" t="n">
        <v>46312</v>
      </c>
      <c r="F123" t="inlineStr">
        <is>
          <t>HALLANDS LÄN</t>
        </is>
      </c>
      <c r="G123" t="inlineStr">
        <is>
          <t>HYLTE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46312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46312</v>
      </c>
      <c r="F125" t="inlineStr">
        <is>
          <t>HALLANDS LÄN</t>
        </is>
      </c>
      <c r="G125" t="inlineStr">
        <is>
          <t>HYLTE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46312</v>
      </c>
      <c r="F126" t="inlineStr">
        <is>
          <t>HALLANDS LÄN</t>
        </is>
      </c>
      <c r="G126" t="inlineStr">
        <is>
          <t>HYLTE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46312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46312</v>
      </c>
      <c r="F128" t="inlineStr">
        <is>
          <t>HALLANDS LÄN</t>
        </is>
      </c>
      <c r="G128" t="inlineStr">
        <is>
          <t>HYLTE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46312</v>
      </c>
      <c r="F129" t="inlineStr">
        <is>
          <t>HALLANDS LÄN</t>
        </is>
      </c>
      <c r="G129" t="inlineStr">
        <is>
          <t>HYLTE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46312</v>
      </c>
      <c r="F130" t="inlineStr">
        <is>
          <t>HALLANDS LÄN</t>
        </is>
      </c>
      <c r="G130" t="inlineStr">
        <is>
          <t>HYLTE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46312</v>
      </c>
      <c r="F131" t="inlineStr">
        <is>
          <t>HALLANDS LÄN</t>
        </is>
      </c>
      <c r="G131" t="inlineStr">
        <is>
          <t>HYLTE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46312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46312</v>
      </c>
      <c r="F133" t="inlineStr">
        <is>
          <t>HALLANDS LÄN</t>
        </is>
      </c>
      <c r="G133" t="inlineStr">
        <is>
          <t>HYLTE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46312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46312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46312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45441</v>
      </c>
      <c r="E137" s="1" t="n">
        <v>46312</v>
      </c>
      <c r="F137" t="inlineStr">
        <is>
          <t>HALLANDS LÄN</t>
        </is>
      </c>
      <c r="G137" t="inlineStr">
        <is>
          <t>HYLTE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45441</v>
      </c>
      <c r="E138" s="1" t="n">
        <v>46312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53192-2023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45229</v>
      </c>
      <c r="E139" s="1" t="n">
        <v>46312</v>
      </c>
      <c r="F139" t="inlineStr">
        <is>
          <t>HALLANDS LÄN</t>
        </is>
      </c>
      <c r="G139" t="inlineStr">
        <is>
          <t>HYLTE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46312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46312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46312</v>
      </c>
      <c r="F142" t="inlineStr">
        <is>
          <t>HALLANDS LÄN</t>
        </is>
      </c>
      <c r="G142" t="inlineStr">
        <is>
          <t>HYLTE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46312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46312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46312</v>
      </c>
      <c r="F145" t="inlineStr">
        <is>
          <t>HALLANDS LÄN</t>
        </is>
      </c>
      <c r="G145" t="inlineStr">
        <is>
          <t>HYLTE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45132</v>
      </c>
      <c r="E146" s="1" t="n">
        <v>46312</v>
      </c>
      <c r="F146" t="inlineStr">
        <is>
          <t>HALLANDS LÄN</t>
        </is>
      </c>
      <c r="G146" t="inlineStr">
        <is>
          <t>HYLTE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46312</v>
      </c>
      <c r="F147" t="inlineStr">
        <is>
          <t>HALLANDS LÄN</t>
        </is>
      </c>
      <c r="G147" t="inlineStr">
        <is>
          <t>HYLTE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46312</v>
      </c>
      <c r="F148" t="inlineStr">
        <is>
          <t>HALLANDS LÄN</t>
        </is>
      </c>
      <c r="G148" t="inlineStr">
        <is>
          <t>HYLTE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46312</v>
      </c>
      <c r="F149" t="inlineStr">
        <is>
          <t>HALLANDS LÄN</t>
        </is>
      </c>
      <c r="G149" t="inlineStr">
        <is>
          <t>HYLTE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46312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45331</v>
      </c>
      <c r="E151" s="1" t="n">
        <v>46312</v>
      </c>
      <c r="F151" t="inlineStr">
        <is>
          <t>HALLANDS LÄN</t>
        </is>
      </c>
      <c r="G151" t="inlineStr">
        <is>
          <t>HYLTE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45287</v>
      </c>
      <c r="E152" s="1" t="n">
        <v>46312</v>
      </c>
      <c r="F152" t="inlineStr">
        <is>
          <t>HALLANDS LÄN</t>
        </is>
      </c>
      <c r="G152" t="inlineStr">
        <is>
          <t>HYLTE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46312</v>
      </c>
      <c r="F153" t="inlineStr">
        <is>
          <t>HALLANDS LÄN</t>
        </is>
      </c>
      <c r="G153" t="inlineStr">
        <is>
          <t>HYLTE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46312</v>
      </c>
      <c r="F154" t="inlineStr">
        <is>
          <t>HALLANDS LÄN</t>
        </is>
      </c>
      <c r="G154" t="inlineStr">
        <is>
          <t>HYLTE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46312</v>
      </c>
      <c r="F155" t="inlineStr">
        <is>
          <t>HALLANDS LÄN</t>
        </is>
      </c>
      <c r="G155" t="inlineStr">
        <is>
          <t>HYLTE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46312</v>
      </c>
      <c r="F156" t="inlineStr">
        <is>
          <t>HALLANDS LÄN</t>
        </is>
      </c>
      <c r="G156" t="inlineStr">
        <is>
          <t>HYLTE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46312</v>
      </c>
      <c r="F157" t="inlineStr">
        <is>
          <t>HALLANDS LÄN</t>
        </is>
      </c>
      <c r="G157" t="inlineStr">
        <is>
          <t>HYLTE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46312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46312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46312</v>
      </c>
      <c r="F160" t="inlineStr">
        <is>
          <t>HALLANDS LÄN</t>
        </is>
      </c>
      <c r="G160" t="inlineStr">
        <is>
          <t>HYLTE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45560</v>
      </c>
      <c r="E161" s="1" t="n">
        <v>46312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46312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46312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46312</v>
      </c>
      <c r="F164" t="inlineStr">
        <is>
          <t>HALLANDS LÄN</t>
        </is>
      </c>
      <c r="G164" t="inlineStr">
        <is>
          <t>HYLTE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46312</v>
      </c>
      <c r="F165" t="inlineStr">
        <is>
          <t>HALLANDS LÄN</t>
        </is>
      </c>
      <c r="G165" t="inlineStr">
        <is>
          <t>HYLTE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45748</v>
      </c>
      <c r="E166" s="1" t="n">
        <v>46312</v>
      </c>
      <c r="F166" t="inlineStr">
        <is>
          <t>HALLANDS LÄN</t>
        </is>
      </c>
      <c r="G166" t="inlineStr">
        <is>
          <t>HYLTE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46312</v>
      </c>
      <c r="F167" t="inlineStr">
        <is>
          <t>HALLANDS LÄN</t>
        </is>
      </c>
      <c r="G167" t="inlineStr">
        <is>
          <t>HYLTE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46312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46312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46312</v>
      </c>
      <c r="F170" t="inlineStr">
        <is>
          <t>HALLANDS LÄN</t>
        </is>
      </c>
      <c r="G170" t="inlineStr">
        <is>
          <t>HYLTE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46312</v>
      </c>
      <c r="F171" t="inlineStr">
        <is>
          <t>HALLANDS LÄN</t>
        </is>
      </c>
      <c r="G171" t="inlineStr">
        <is>
          <t>HYLTE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46312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46312</v>
      </c>
      <c r="F173" t="inlineStr">
        <is>
          <t>HALLANDS LÄN</t>
        </is>
      </c>
      <c r="G173" t="inlineStr">
        <is>
          <t>HYLTE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46312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46312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46312</v>
      </c>
      <c r="F176" t="inlineStr">
        <is>
          <t>HALLANDS LÄN</t>
        </is>
      </c>
      <c r="G176" t="inlineStr">
        <is>
          <t>HYLTE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46312</v>
      </c>
      <c r="F177" t="inlineStr">
        <is>
          <t>HALLANDS LÄN</t>
        </is>
      </c>
      <c r="G177" t="inlineStr">
        <is>
          <t>HYLTE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46312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46312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46312</v>
      </c>
      <c r="F180" t="inlineStr">
        <is>
          <t>HALLANDS LÄN</t>
        </is>
      </c>
      <c r="G180" t="inlineStr">
        <is>
          <t>HYLTE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46312</v>
      </c>
      <c r="F181" t="inlineStr">
        <is>
          <t>HALLANDS LÄN</t>
        </is>
      </c>
      <c r="G181" t="inlineStr">
        <is>
          <t>HYLTE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46312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46312</v>
      </c>
      <c r="F183" t="inlineStr">
        <is>
          <t>HALLANDS LÄN</t>
        </is>
      </c>
      <c r="G183" t="inlineStr">
        <is>
          <t>HYLTE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46312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46312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46312</v>
      </c>
      <c r="F186" t="inlineStr">
        <is>
          <t>HALLANDS LÄN</t>
        </is>
      </c>
      <c r="G186" t="inlineStr">
        <is>
          <t>HYLTE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46312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46312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46312</v>
      </c>
      <c r="F189" t="inlineStr">
        <is>
          <t>HALLANDS LÄN</t>
        </is>
      </c>
      <c r="G189" t="inlineStr">
        <is>
          <t>HYLTE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46312</v>
      </c>
      <c r="F190" t="inlineStr">
        <is>
          <t>HALLANDS LÄN</t>
        </is>
      </c>
      <c r="G190" t="inlineStr">
        <is>
          <t>HYLTE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46312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46312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46312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46312</v>
      </c>
      <c r="F194" t="inlineStr">
        <is>
          <t>HALLANDS LÄN</t>
        </is>
      </c>
      <c r="G194" t="inlineStr">
        <is>
          <t>HYLTE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46312</v>
      </c>
      <c r="F195" t="inlineStr">
        <is>
          <t>HALLANDS LÄN</t>
        </is>
      </c>
      <c r="G195" t="inlineStr">
        <is>
          <t>HYLTE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46312</v>
      </c>
      <c r="F196" t="inlineStr">
        <is>
          <t>HALLANDS LÄN</t>
        </is>
      </c>
      <c r="G196" t="inlineStr">
        <is>
          <t>HYLTE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46312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46312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46312</v>
      </c>
      <c r="F199" t="inlineStr">
        <is>
          <t>HALLANDS LÄN</t>
        </is>
      </c>
      <c r="G199" t="inlineStr">
        <is>
          <t>HYLTE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46312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46312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46312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46312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46312</v>
      </c>
      <c r="F204" t="inlineStr">
        <is>
          <t>HALLANDS LÄN</t>
        </is>
      </c>
      <c r="G204" t="inlineStr">
        <is>
          <t>HYLTE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46312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46312</v>
      </c>
      <c r="F206" t="inlineStr">
        <is>
          <t>HALLANDS LÄN</t>
        </is>
      </c>
      <c r="G206" t="inlineStr">
        <is>
          <t>HYLTE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46312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46312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44694</v>
      </c>
      <c r="E209" s="1" t="n">
        <v>46312</v>
      </c>
      <c r="F209" t="inlineStr">
        <is>
          <t>HALLANDS LÄN</t>
        </is>
      </c>
      <c r="G209" t="inlineStr">
        <is>
          <t>HYLTE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46312</v>
      </c>
      <c r="F210" t="inlineStr">
        <is>
          <t>HALLANDS LÄN</t>
        </is>
      </c>
      <c r="G210" t="inlineStr">
        <is>
          <t>HYLTE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46312</v>
      </c>
      <c r="F211" t="inlineStr">
        <is>
          <t>HALLANDS LÄN</t>
        </is>
      </c>
      <c r="G211" t="inlineStr">
        <is>
          <t>HYLTE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46312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46312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46312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46312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46312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46312</v>
      </c>
      <c r="F217" t="inlineStr">
        <is>
          <t>HALLANDS LÄN</t>
        </is>
      </c>
      <c r="G217" t="inlineStr">
        <is>
          <t>HYLTE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46312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46312</v>
      </c>
      <c r="F219" t="inlineStr">
        <is>
          <t>HALLANDS LÄN</t>
        </is>
      </c>
      <c r="G219" t="inlineStr">
        <is>
          <t>HYLTE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46312</v>
      </c>
      <c r="F220" t="inlineStr">
        <is>
          <t>HALLANDS LÄN</t>
        </is>
      </c>
      <c r="G220" t="inlineStr">
        <is>
          <t>HYLTE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46312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46312</v>
      </c>
      <c r="F222" t="inlineStr">
        <is>
          <t>HALLANDS LÄN</t>
        </is>
      </c>
      <c r="G222" t="inlineStr">
        <is>
          <t>HYLTE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46312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46312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46312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46312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46312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46312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46312</v>
      </c>
      <c r="F229" t="inlineStr">
        <is>
          <t>HALLANDS LÄN</t>
        </is>
      </c>
      <c r="G229" t="inlineStr">
        <is>
          <t>HYLTE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44926</v>
      </c>
      <c r="E230" s="1" t="n">
        <v>46312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46312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46312</v>
      </c>
      <c r="F232" t="inlineStr">
        <is>
          <t>HALLANDS LÄN</t>
        </is>
      </c>
      <c r="G232" t="inlineStr">
        <is>
          <t>HYLTE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46312</v>
      </c>
      <c r="F233" t="inlineStr">
        <is>
          <t>HALLANDS LÄN</t>
        </is>
      </c>
      <c r="G233" t="inlineStr">
        <is>
          <t>HYLTE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46312</v>
      </c>
      <c r="F234" t="inlineStr">
        <is>
          <t>HALLANDS LÄN</t>
        </is>
      </c>
      <c r="G234" t="inlineStr">
        <is>
          <t>HYLTE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46312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46312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46312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46312</v>
      </c>
      <c r="F238" t="inlineStr">
        <is>
          <t>HALLANDS LÄN</t>
        </is>
      </c>
      <c r="G238" t="inlineStr">
        <is>
          <t>HYLTE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46312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45019</v>
      </c>
      <c r="E240" s="1" t="n">
        <v>46312</v>
      </c>
      <c r="F240" t="inlineStr">
        <is>
          <t>HALLANDS LÄN</t>
        </is>
      </c>
      <c r="G240" t="inlineStr">
        <is>
          <t>HYLTE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46312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46312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45366</v>
      </c>
      <c r="E243" s="1" t="n">
        <v>46312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46312</v>
      </c>
      <c r="F244" t="inlineStr">
        <is>
          <t>HALLANDS LÄN</t>
        </is>
      </c>
      <c r="G244" t="inlineStr">
        <is>
          <t>HYLTE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46312</v>
      </c>
      <c r="F245" t="inlineStr">
        <is>
          <t>HALLANDS LÄN</t>
        </is>
      </c>
      <c r="G245" t="inlineStr">
        <is>
          <t>HYLTE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46312</v>
      </c>
      <c r="F246" t="inlineStr">
        <is>
          <t>HALLANDS LÄN</t>
        </is>
      </c>
      <c r="G246" t="inlineStr">
        <is>
          <t>HYLTE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46312</v>
      </c>
      <c r="F247" t="inlineStr">
        <is>
          <t>HALLANDS LÄN</t>
        </is>
      </c>
      <c r="G247" t="inlineStr">
        <is>
          <t>HYLTE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46312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46312</v>
      </c>
      <c r="F249" t="inlineStr">
        <is>
          <t>HALLANDS LÄN</t>
        </is>
      </c>
      <c r="G249" t="inlineStr">
        <is>
          <t>HYLTE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46312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46312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46312</v>
      </c>
      <c r="F252" t="inlineStr">
        <is>
          <t>HALLANDS LÄN</t>
        </is>
      </c>
      <c r="G252" t="inlineStr">
        <is>
          <t>HYLTE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46312</v>
      </c>
      <c r="F253" t="inlineStr">
        <is>
          <t>HALLANDS LÄN</t>
        </is>
      </c>
      <c r="G253" t="inlineStr">
        <is>
          <t>HYLTE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46312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46312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46312</v>
      </c>
      <c r="F256" t="inlineStr">
        <is>
          <t>HALLANDS LÄN</t>
        </is>
      </c>
      <c r="G256" t="inlineStr">
        <is>
          <t>HYLTE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46312</v>
      </c>
      <c r="F257" t="inlineStr">
        <is>
          <t>HALLANDS LÄN</t>
        </is>
      </c>
      <c r="G257" t="inlineStr">
        <is>
          <t>HYLTE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46312</v>
      </c>
      <c r="F258" t="inlineStr">
        <is>
          <t>HALLANDS LÄN</t>
        </is>
      </c>
      <c r="G258" t="inlineStr">
        <is>
          <t>HYLTE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46312</v>
      </c>
      <c r="F259" t="inlineStr">
        <is>
          <t>HALLANDS LÄN</t>
        </is>
      </c>
      <c r="G259" t="inlineStr">
        <is>
          <t>HYLTE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46312</v>
      </c>
      <c r="F260" t="inlineStr">
        <is>
          <t>HALLANDS LÄN</t>
        </is>
      </c>
      <c r="G260" t="inlineStr">
        <is>
          <t>HYLTE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46312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46312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46312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44750</v>
      </c>
      <c r="E264" s="1" t="n">
        <v>46312</v>
      </c>
      <c r="F264" t="inlineStr">
        <is>
          <t>HALLANDS LÄN</t>
        </is>
      </c>
      <c r="G264" t="inlineStr">
        <is>
          <t>HYLTE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46312</v>
      </c>
      <c r="F265" t="inlineStr">
        <is>
          <t>HALLANDS LÄN</t>
        </is>
      </c>
      <c r="G265" t="inlineStr">
        <is>
          <t>HYLTE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46312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45441</v>
      </c>
      <c r="E267" s="1" t="n">
        <v>46312</v>
      </c>
      <c r="F267" t="inlineStr">
        <is>
          <t>HALLANDS LÄN</t>
        </is>
      </c>
      <c r="G267" t="inlineStr">
        <is>
          <t>HYLTE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46312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45441</v>
      </c>
      <c r="E269" s="1" t="n">
        <v>46312</v>
      </c>
      <c r="F269" t="inlineStr">
        <is>
          <t>HALLANDS LÄN</t>
        </is>
      </c>
      <c r="G269" t="inlineStr">
        <is>
          <t>HYLTE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46312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46312</v>
      </c>
      <c r="F271" t="inlineStr">
        <is>
          <t>HALLANDS LÄN</t>
        </is>
      </c>
      <c r="G271" t="inlineStr">
        <is>
          <t>HYLTE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46312</v>
      </c>
      <c r="F272" t="inlineStr">
        <is>
          <t>HALLANDS LÄN</t>
        </is>
      </c>
      <c r="G272" t="inlineStr">
        <is>
          <t>HYLTE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46312</v>
      </c>
      <c r="F273" t="inlineStr">
        <is>
          <t>HALLANDS LÄN</t>
        </is>
      </c>
      <c r="G273" t="inlineStr">
        <is>
          <t>HYLTE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46312</v>
      </c>
      <c r="F274" t="inlineStr">
        <is>
          <t>HALLANDS LÄN</t>
        </is>
      </c>
      <c r="G274" t="inlineStr">
        <is>
          <t>HYLTE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46312</v>
      </c>
      <c r="F275" t="inlineStr">
        <is>
          <t>HALLANDS LÄN</t>
        </is>
      </c>
      <c r="G275" t="inlineStr">
        <is>
          <t>HYLTE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46312</v>
      </c>
      <c r="F276" t="inlineStr">
        <is>
          <t>HALLANDS LÄN</t>
        </is>
      </c>
      <c r="G276" t="inlineStr">
        <is>
          <t>HYLTE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46312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46312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46312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46312</v>
      </c>
      <c r="F280" t="inlineStr">
        <is>
          <t>HALLANDS LÄN</t>
        </is>
      </c>
      <c r="G280" t="inlineStr">
        <is>
          <t>HYLTE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45987</v>
      </c>
      <c r="E281" s="1" t="n">
        <v>46312</v>
      </c>
      <c r="F281" t="inlineStr">
        <is>
          <t>HALLANDS LÄN</t>
        </is>
      </c>
      <c r="G281" t="inlineStr">
        <is>
          <t>HYLTE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46312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46312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46312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45382</v>
      </c>
      <c r="E285" s="1" t="n">
        <v>46312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46312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46312</v>
      </c>
      <c r="F287" t="inlineStr">
        <is>
          <t>HALLANDS LÄN</t>
        </is>
      </c>
      <c r="G287" t="inlineStr">
        <is>
          <t>HYLTE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46312</v>
      </c>
      <c r="F288" t="inlineStr">
        <is>
          <t>HALLANDS LÄN</t>
        </is>
      </c>
      <c r="G288" t="inlineStr">
        <is>
          <t>HYLTE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46312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46312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45411</v>
      </c>
      <c r="E291" s="1" t="n">
        <v>46312</v>
      </c>
      <c r="F291" t="inlineStr">
        <is>
          <t>HALLANDS LÄN</t>
        </is>
      </c>
      <c r="G291" t="inlineStr">
        <is>
          <t>HYLTE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45558</v>
      </c>
      <c r="E292" s="1" t="n">
        <v>46312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46312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46312</v>
      </c>
      <c r="F294" t="inlineStr">
        <is>
          <t>HALLANDS LÄN</t>
        </is>
      </c>
      <c r="G294" t="inlineStr">
        <is>
          <t>HYLTE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46312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44697</v>
      </c>
      <c r="E296" s="1" t="n">
        <v>46312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46312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46312</v>
      </c>
      <c r="F298" t="inlineStr">
        <is>
          <t>HALLANDS LÄN</t>
        </is>
      </c>
      <c r="G298" t="inlineStr">
        <is>
          <t>HYLTE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45351</v>
      </c>
      <c r="E299" s="1" t="n">
        <v>46312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46312</v>
      </c>
      <c r="F300" t="inlineStr">
        <is>
          <t>HALLANDS LÄN</t>
        </is>
      </c>
      <c r="G300" t="inlineStr">
        <is>
          <t>HYLTE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46312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46312</v>
      </c>
      <c r="F302" t="inlineStr">
        <is>
          <t>HALLANDS LÄN</t>
        </is>
      </c>
      <c r="G302" t="inlineStr">
        <is>
          <t>HYLTE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46312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46312</v>
      </c>
      <c r="F304" t="inlineStr">
        <is>
          <t>HALLANDS LÄN</t>
        </is>
      </c>
      <c r="G304" t="inlineStr">
        <is>
          <t>HYLTE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44635</v>
      </c>
      <c r="E305" s="1" t="n">
        <v>46312</v>
      </c>
      <c r="F305" t="inlineStr">
        <is>
          <t>HALLANDS LÄN</t>
        </is>
      </c>
      <c r="G305" t="inlineStr">
        <is>
          <t>HYLTE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45462</v>
      </c>
      <c r="E306" s="1" t="n">
        <v>46312</v>
      </c>
      <c r="F306" t="inlineStr">
        <is>
          <t>HALLANDS LÄN</t>
        </is>
      </c>
      <c r="G306" t="inlineStr">
        <is>
          <t>HYLTE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71120-2021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44539</v>
      </c>
      <c r="E307" s="1" t="n">
        <v>46312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46312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46312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45352</v>
      </c>
      <c r="E310" s="1" t="n">
        <v>46312</v>
      </c>
      <c r="F310" t="inlineStr">
        <is>
          <t>HALLANDS LÄN</t>
        </is>
      </c>
      <c r="G310" t="inlineStr">
        <is>
          <t>HYLTE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46020</v>
      </c>
      <c r="E311" s="1" t="n">
        <v>46312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44970</v>
      </c>
      <c r="E312" s="1" t="n">
        <v>46312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46312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46312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64221-2021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44510</v>
      </c>
      <c r="E315" s="1" t="n">
        <v>46312</v>
      </c>
      <c r="F315" t="inlineStr">
        <is>
          <t>HALLANDS LÄN</t>
        </is>
      </c>
      <c r="G315" t="inlineStr">
        <is>
          <t>HYLTE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46312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46312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46312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46312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46312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46312</v>
      </c>
      <c r="F321" t="inlineStr">
        <is>
          <t>HALLANDS LÄN</t>
        </is>
      </c>
      <c r="G321" t="inlineStr">
        <is>
          <t>HYLTE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46312</v>
      </c>
      <c r="F322" t="inlineStr">
        <is>
          <t>HALLANDS LÄN</t>
        </is>
      </c>
      <c r="G322" t="inlineStr">
        <is>
          <t>HYLTE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46312</v>
      </c>
      <c r="F323" t="inlineStr">
        <is>
          <t>HALLANDS LÄN</t>
        </is>
      </c>
      <c r="G323" t="inlineStr">
        <is>
          <t>HYLTE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46312</v>
      </c>
      <c r="F324" t="inlineStr">
        <is>
          <t>HALLANDS LÄN</t>
        </is>
      </c>
      <c r="G324" t="inlineStr">
        <is>
          <t>HYLTE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46312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46312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46312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46312</v>
      </c>
      <c r="F328" t="inlineStr">
        <is>
          <t>HALLANDS LÄN</t>
        </is>
      </c>
      <c r="G328" t="inlineStr">
        <is>
          <t>HYLTE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46312</v>
      </c>
      <c r="F329" t="inlineStr">
        <is>
          <t>HALLANDS LÄN</t>
        </is>
      </c>
      <c r="G329" t="inlineStr">
        <is>
          <t>HYLTE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46312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46312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46312</v>
      </c>
      <c r="F332" t="inlineStr">
        <is>
          <t>HALLANDS LÄN</t>
        </is>
      </c>
      <c r="G332" t="inlineStr">
        <is>
          <t>HYLTE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46312</v>
      </c>
      <c r="F333" t="inlineStr">
        <is>
          <t>HALLANDS LÄN</t>
        </is>
      </c>
      <c r="G333" t="inlineStr">
        <is>
          <t>HYLTE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46312</v>
      </c>
      <c r="F334" t="inlineStr">
        <is>
          <t>HALLANDS LÄN</t>
        </is>
      </c>
      <c r="G334" t="inlineStr">
        <is>
          <t>HYLTE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46312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46312</v>
      </c>
      <c r="F336" t="inlineStr">
        <is>
          <t>HALLANDS LÄN</t>
        </is>
      </c>
      <c r="G336" t="inlineStr">
        <is>
          <t>HYLTE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46312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46312</v>
      </c>
      <c r="F338" t="inlineStr">
        <is>
          <t>HALLANDS LÄN</t>
        </is>
      </c>
      <c r="G338" t="inlineStr">
        <is>
          <t>HYLTE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46312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46312</v>
      </c>
      <c r="F340" t="inlineStr">
        <is>
          <t>HALLANDS LÄN</t>
        </is>
      </c>
      <c r="G340" t="inlineStr">
        <is>
          <t>HYLTE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46312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46312</v>
      </c>
      <c r="F342" t="inlineStr">
        <is>
          <t>HALLANDS LÄN</t>
        </is>
      </c>
      <c r="G342" t="inlineStr">
        <is>
          <t>HYLTE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46312</v>
      </c>
      <c r="F343" t="inlineStr">
        <is>
          <t>HALLANDS LÄN</t>
        </is>
      </c>
      <c r="G343" t="inlineStr">
        <is>
          <t>HYLTE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46312</v>
      </c>
      <c r="F344" t="inlineStr">
        <is>
          <t>HALLANDS LÄN</t>
        </is>
      </c>
      <c r="G344" t="inlineStr">
        <is>
          <t>HYLTE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46312</v>
      </c>
      <c r="F345" t="inlineStr">
        <is>
          <t>HALLANDS LÄN</t>
        </is>
      </c>
      <c r="G345" t="inlineStr">
        <is>
          <t>HYLTE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46312</v>
      </c>
      <c r="F346" t="inlineStr">
        <is>
          <t>HALLANDS LÄN</t>
        </is>
      </c>
      <c r="G346" t="inlineStr">
        <is>
          <t>HYLTE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58841-2021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46312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46312</v>
      </c>
      <c r="F348" t="inlineStr">
        <is>
          <t>HALLANDS LÄN</t>
        </is>
      </c>
      <c r="G348" t="inlineStr">
        <is>
          <t>HYLTE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46312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46312</v>
      </c>
      <c r="F350" t="inlineStr">
        <is>
          <t>HALLANDS LÄN</t>
        </is>
      </c>
      <c r="G350" t="inlineStr">
        <is>
          <t>HYLTE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46312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46312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46692-2023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45198</v>
      </c>
      <c r="E353" s="1" t="n">
        <v>46312</v>
      </c>
      <c r="F353" t="inlineStr">
        <is>
          <t>HALLANDS LÄN</t>
        </is>
      </c>
      <c r="G353" t="inlineStr">
        <is>
          <t>HYLTE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45752</v>
      </c>
      <c r="E354" s="1" t="n">
        <v>46312</v>
      </c>
      <c r="F354" t="inlineStr">
        <is>
          <t>HALLANDS LÄN</t>
        </is>
      </c>
      <c r="G354" t="inlineStr">
        <is>
          <t>HYLTE</t>
        </is>
      </c>
      <c r="H354" t="inlineStr">
        <is>
          <t>Kyrkan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46312</v>
      </c>
      <c r="F355" t="inlineStr">
        <is>
          <t>HALLANDS LÄN</t>
        </is>
      </c>
      <c r="G355" t="inlineStr">
        <is>
          <t>HYLTE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46312</v>
      </c>
      <c r="F356" t="inlineStr">
        <is>
          <t>HALLANDS LÄN</t>
        </is>
      </c>
      <c r="G356" t="inlineStr">
        <is>
          <t>HYLTE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46312</v>
      </c>
      <c r="F357" t="inlineStr">
        <is>
          <t>HALLANDS LÄN</t>
        </is>
      </c>
      <c r="G357" t="inlineStr">
        <is>
          <t>HYLTE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46312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46312</v>
      </c>
      <c r="F359" t="inlineStr">
        <is>
          <t>HALLANDS LÄN</t>
        </is>
      </c>
      <c r="G359" t="inlineStr">
        <is>
          <t>HYLTE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45153</v>
      </c>
      <c r="E360" s="1" t="n">
        <v>46312</v>
      </c>
      <c r="F360" t="inlineStr">
        <is>
          <t>HALLANDS LÄN</t>
        </is>
      </c>
      <c r="G360" t="inlineStr">
        <is>
          <t>HYLTE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46312</v>
      </c>
      <c r="F361" t="inlineStr">
        <is>
          <t>HALLANDS LÄN</t>
        </is>
      </c>
      <c r="G361" t="inlineStr">
        <is>
          <t>HYLTE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46312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46312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46312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46312</v>
      </c>
      <c r="F365" t="inlineStr">
        <is>
          <t>HALLANDS LÄN</t>
        </is>
      </c>
      <c r="G365" t="inlineStr">
        <is>
          <t>HYLTE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46312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46312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45342</v>
      </c>
      <c r="E368" s="1" t="n">
        <v>46312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45737</v>
      </c>
      <c r="E369" s="1" t="n">
        <v>46312</v>
      </c>
      <c r="F369" t="inlineStr">
        <is>
          <t>HALLANDS LÄN</t>
        </is>
      </c>
      <c r="G369" t="inlineStr">
        <is>
          <t>HYLTE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46312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46312</v>
      </c>
      <c r="F371" t="inlineStr">
        <is>
          <t>HALLANDS LÄN</t>
        </is>
      </c>
      <c r="G371" t="inlineStr">
        <is>
          <t>HYLTE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46312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46312</v>
      </c>
      <c r="F373" t="inlineStr">
        <is>
          <t>HALLANDS LÄN</t>
        </is>
      </c>
      <c r="G373" t="inlineStr">
        <is>
          <t>HYLTE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46312</v>
      </c>
      <c r="F374" t="inlineStr">
        <is>
          <t>HALLANDS LÄN</t>
        </is>
      </c>
      <c r="G374" t="inlineStr">
        <is>
          <t>HYLTE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46312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46312</v>
      </c>
      <c r="F376" t="inlineStr">
        <is>
          <t>HALLANDS LÄN</t>
        </is>
      </c>
      <c r="G376" t="inlineStr">
        <is>
          <t>HYLTE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46312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46312</v>
      </c>
      <c r="F378" t="inlineStr">
        <is>
          <t>HALLANDS LÄN</t>
        </is>
      </c>
      <c r="G378" t="inlineStr">
        <is>
          <t>HYLTE</t>
        </is>
      </c>
      <c r="I378" t="n">
        <v>11.6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46312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46312</v>
      </c>
      <c r="F380" t="inlineStr">
        <is>
          <t>HALLANDS LÄN</t>
        </is>
      </c>
      <c r="G380" t="inlineStr">
        <is>
          <t>HYLTE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45002</v>
      </c>
      <c r="E381" s="1" t="n">
        <v>46312</v>
      </c>
      <c r="F381" t="inlineStr">
        <is>
          <t>HALLANDS LÄN</t>
        </is>
      </c>
      <c r="G381" t="inlineStr">
        <is>
          <t>HYLTE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46312</v>
      </c>
      <c r="F382" t="inlineStr">
        <is>
          <t>HALLANDS LÄN</t>
        </is>
      </c>
      <c r="G382" t="inlineStr">
        <is>
          <t>HYLTE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46312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44847</v>
      </c>
      <c r="E384" s="1" t="n">
        <v>46312</v>
      </c>
      <c r="F384" t="inlineStr">
        <is>
          <t>HALLANDS LÄN</t>
        </is>
      </c>
      <c r="G384" t="inlineStr">
        <is>
          <t>HYLTE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46312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46312</v>
      </c>
      <c r="F386" t="inlineStr">
        <is>
          <t>HALLANDS LÄN</t>
        </is>
      </c>
      <c r="G386" t="inlineStr">
        <is>
          <t>HYLTE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46312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46312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46312</v>
      </c>
      <c r="F389" t="inlineStr">
        <is>
          <t>HALLANDS LÄN</t>
        </is>
      </c>
      <c r="G389" t="inlineStr">
        <is>
          <t>HYLTE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46312</v>
      </c>
      <c r="F390" t="inlineStr">
        <is>
          <t>HALLANDS LÄN</t>
        </is>
      </c>
      <c r="G390" t="inlineStr">
        <is>
          <t>HYLTE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46312</v>
      </c>
      <c r="F391" t="inlineStr">
        <is>
          <t>HALLANDS LÄN</t>
        </is>
      </c>
      <c r="G391" t="inlineStr">
        <is>
          <t>HYLTE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45253</v>
      </c>
      <c r="E392" s="1" t="n">
        <v>46312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46312</v>
      </c>
      <c r="F393" t="inlineStr">
        <is>
          <t>HALLANDS LÄN</t>
        </is>
      </c>
      <c r="G393" t="inlineStr">
        <is>
          <t>HYLTE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46312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46312</v>
      </c>
      <c r="F395" t="inlineStr">
        <is>
          <t>HALLANDS LÄN</t>
        </is>
      </c>
      <c r="G395" t="inlineStr">
        <is>
          <t>HYLTE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46312</v>
      </c>
      <c r="F396" t="inlineStr">
        <is>
          <t>HALLANDS LÄN</t>
        </is>
      </c>
      <c r="G396" t="inlineStr">
        <is>
          <t>HYLTE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46312</v>
      </c>
      <c r="F397" t="inlineStr">
        <is>
          <t>HALLANDS LÄN</t>
        </is>
      </c>
      <c r="G397" t="inlineStr">
        <is>
          <t>HYLTE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45715</v>
      </c>
      <c r="E398" s="1" t="n">
        <v>46312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45117</v>
      </c>
      <c r="E399" s="1" t="n">
        <v>46312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46312</v>
      </c>
      <c r="F400" t="inlineStr">
        <is>
          <t>HALLANDS LÄN</t>
        </is>
      </c>
      <c r="G400" t="inlineStr">
        <is>
          <t>HYLTE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46312</v>
      </c>
      <c r="F401" t="inlineStr">
        <is>
          <t>HALLANDS LÄN</t>
        </is>
      </c>
      <c r="G401" t="inlineStr">
        <is>
          <t>HYLTE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46312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46312</v>
      </c>
      <c r="F403" t="inlineStr">
        <is>
          <t>HALLANDS LÄN</t>
        </is>
      </c>
      <c r="G403" t="inlineStr">
        <is>
          <t>HYLTE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46312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46312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46312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46312</v>
      </c>
      <c r="F407" t="inlineStr">
        <is>
          <t>HALLANDS LÄN</t>
        </is>
      </c>
      <c r="G407" t="inlineStr">
        <is>
          <t>HYLTE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46312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46312</v>
      </c>
      <c r="F409" t="inlineStr">
        <is>
          <t>HALLANDS LÄN</t>
        </is>
      </c>
      <c r="G409" t="inlineStr">
        <is>
          <t>HYLTE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46312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46312</v>
      </c>
      <c r="F411" t="inlineStr">
        <is>
          <t>HALLANDS LÄN</t>
        </is>
      </c>
      <c r="G411" t="inlineStr">
        <is>
          <t>HYLTE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46121</v>
      </c>
      <c r="E412" s="1" t="n">
        <v>46312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46312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46312</v>
      </c>
      <c r="F414" t="inlineStr">
        <is>
          <t>HALLANDS LÄN</t>
        </is>
      </c>
      <c r="G414" t="inlineStr">
        <is>
          <t>HYLTE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46312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46312</v>
      </c>
      <c r="F416" t="inlineStr">
        <is>
          <t>HALLANDS LÄN</t>
        </is>
      </c>
      <c r="G416" t="inlineStr">
        <is>
          <t>HYLTE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46312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44726</v>
      </c>
      <c r="E418" s="1" t="n">
        <v>46312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45351</v>
      </c>
      <c r="E419" s="1" t="n">
        <v>46312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45426</v>
      </c>
      <c r="E420" s="1" t="n">
        <v>46312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44872</v>
      </c>
      <c r="E421" s="1" t="n">
        <v>46312</v>
      </c>
      <c r="F421" t="inlineStr">
        <is>
          <t>HALLANDS LÄN</t>
        </is>
      </c>
      <c r="G421" t="inlineStr">
        <is>
          <t>HYLTE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45456</v>
      </c>
      <c r="E422" s="1" t="n">
        <v>46312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46312</v>
      </c>
      <c r="F423" t="inlineStr">
        <is>
          <t>HALLANDS LÄN</t>
        </is>
      </c>
      <c r="G423" t="inlineStr">
        <is>
          <t>HYLTE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46312</v>
      </c>
      <c r="F424" t="inlineStr">
        <is>
          <t>HALLANDS LÄN</t>
        </is>
      </c>
      <c r="G424" t="inlineStr">
        <is>
          <t>HYLTE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46312</v>
      </c>
      <c r="F425" t="inlineStr">
        <is>
          <t>HALLANDS LÄN</t>
        </is>
      </c>
      <c r="G425" t="inlineStr">
        <is>
          <t>HYLTE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31168-2026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46209</v>
      </c>
      <c r="E426" s="1" t="n">
        <v>46312</v>
      </c>
      <c r="F426" t="inlineStr">
        <is>
          <t>HALLANDS LÄN</t>
        </is>
      </c>
      <c r="G426" t="inlineStr">
        <is>
          <t>HYLTE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46312</v>
      </c>
      <c r="F427" t="inlineStr">
        <is>
          <t>HALLANDS LÄN</t>
        </is>
      </c>
      <c r="G427" t="inlineStr">
        <is>
          <t>HYLTE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46312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45524</v>
      </c>
      <c r="E429" s="1" t="n">
        <v>46312</v>
      </c>
      <c r="F429" t="inlineStr">
        <is>
          <t>HALLANDS LÄN</t>
        </is>
      </c>
      <c r="G429" t="inlineStr">
        <is>
          <t>HYLTE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31265-2023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45114</v>
      </c>
      <c r="E430" s="1" t="n">
        <v>46312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46312</v>
      </c>
      <c r="F431" t="inlineStr">
        <is>
          <t>HALLANDS LÄN</t>
        </is>
      </c>
      <c r="G431" t="inlineStr">
        <is>
          <t>HYLTE</t>
        </is>
      </c>
      <c r="I431" t="n">
        <v>8.800000000000001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46312</v>
      </c>
      <c r="F432" t="inlineStr">
        <is>
          <t>HALLANDS LÄN</t>
        </is>
      </c>
      <c r="G432" t="inlineStr">
        <is>
          <t>HYLTE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45316</v>
      </c>
      <c r="E433" s="1" t="n">
        <v>46312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46312</v>
      </c>
      <c r="F434" t="inlineStr">
        <is>
          <t>HALLANDS LÄN</t>
        </is>
      </c>
      <c r="G434" t="inlineStr">
        <is>
          <t>HYLTE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44575</v>
      </c>
      <c r="E435" s="1" t="n">
        <v>46312</v>
      </c>
      <c r="F435" t="inlineStr">
        <is>
          <t>HALLANDS LÄN</t>
        </is>
      </c>
      <c r="G435" t="inlineStr">
        <is>
          <t>HYLTE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46312</v>
      </c>
      <c r="F436" t="inlineStr">
        <is>
          <t>HALLANDS LÄN</t>
        </is>
      </c>
      <c r="G436" t="inlineStr">
        <is>
          <t>HYLTE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45334</v>
      </c>
      <c r="E437" s="1" t="n">
        <v>46312</v>
      </c>
      <c r="F437" t="inlineStr">
        <is>
          <t>HALLANDS LÄN</t>
        </is>
      </c>
      <c r="G437" t="inlineStr">
        <is>
          <t>HYLTE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46312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44729</v>
      </c>
      <c r="E439" s="1" t="n">
        <v>46312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46312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46312</v>
      </c>
      <c r="F441" t="inlineStr">
        <is>
          <t>HALLANDS LÄN</t>
        </is>
      </c>
      <c r="G441" t="inlineStr">
        <is>
          <t>HYLTE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46312</v>
      </c>
      <c r="F442" t="inlineStr">
        <is>
          <t>HALLANDS LÄN</t>
        </is>
      </c>
      <c r="G442" t="inlineStr">
        <is>
          <t>HYLTE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46312</v>
      </c>
      <c r="F443" t="inlineStr">
        <is>
          <t>HALLANDS LÄN</t>
        </is>
      </c>
      <c r="G443" t="inlineStr">
        <is>
          <t>HYLTE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45432</v>
      </c>
      <c r="E444" s="1" t="n">
        <v>46312</v>
      </c>
      <c r="F444" t="inlineStr">
        <is>
          <t>HALLANDS LÄN</t>
        </is>
      </c>
      <c r="G444" t="inlineStr">
        <is>
          <t>HYLTE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46312</v>
      </c>
      <c r="F445" t="inlineStr">
        <is>
          <t>HALLANDS LÄN</t>
        </is>
      </c>
      <c r="G445" t="inlineStr">
        <is>
          <t>HYLTE</t>
        </is>
      </c>
      <c r="H445" t="inlineStr">
        <is>
          <t>Kyrkan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44530</v>
      </c>
      <c r="E446" s="1" t="n">
        <v>46312</v>
      </c>
      <c r="F446" t="inlineStr">
        <is>
          <t>HALLANDS LÄN</t>
        </is>
      </c>
      <c r="G446" t="inlineStr">
        <is>
          <t>HYLTE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10364-2023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44980</v>
      </c>
      <c r="E447" s="1" t="n">
        <v>46312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46312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45229</v>
      </c>
      <c r="E449" s="1" t="n">
        <v>46312</v>
      </c>
      <c r="F449" t="inlineStr">
        <is>
          <t>HALLANDS LÄN</t>
        </is>
      </c>
      <c r="G449" t="inlineStr">
        <is>
          <t>HYLTE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46312</v>
      </c>
      <c r="F450" t="inlineStr">
        <is>
          <t>HALLANDS LÄN</t>
        </is>
      </c>
      <c r="G450" t="inlineStr">
        <is>
          <t>HYLTE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46272</v>
      </c>
      <c r="E451" s="1" t="n">
        <v>46312</v>
      </c>
      <c r="F451" t="inlineStr">
        <is>
          <t>HALLANDS LÄN</t>
        </is>
      </c>
      <c r="G451" t="inlineStr">
        <is>
          <t>HYLTE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36862-2026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46272</v>
      </c>
      <c r="E452" s="1" t="n">
        <v>46312</v>
      </c>
      <c r="F452" t="inlineStr">
        <is>
          <t>HALLANDS LÄN</t>
        </is>
      </c>
      <c r="G452" t="inlineStr">
        <is>
          <t>HYLTE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46312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46312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46312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35589-2024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46312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45352</v>
      </c>
      <c r="E457" s="1" t="n">
        <v>46312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46312</v>
      </c>
      <c r="F458" t="inlineStr">
        <is>
          <t>HALLANDS LÄN</t>
        </is>
      </c>
      <c r="G458" t="inlineStr">
        <is>
          <t>HYLTE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45110</v>
      </c>
      <c r="E459" s="1" t="n">
        <v>46312</v>
      </c>
      <c r="F459" t="inlineStr">
        <is>
          <t>HALLANDS LÄN</t>
        </is>
      </c>
      <c r="G459" t="inlineStr">
        <is>
          <t>HYLTE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46312</v>
      </c>
      <c r="F460" t="inlineStr">
        <is>
          <t>HALLANDS LÄN</t>
        </is>
      </c>
      <c r="G460" t="inlineStr">
        <is>
          <t>HYLTE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46312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46312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37711-2026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46279</v>
      </c>
      <c r="E463" s="1" t="n">
        <v>46312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44866</v>
      </c>
      <c r="E464" s="1" t="n">
        <v>46312</v>
      </c>
      <c r="F464" t="inlineStr">
        <is>
          <t>HALLANDS LÄN</t>
        </is>
      </c>
      <c r="G464" t="inlineStr">
        <is>
          <t>HYLTE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46279</v>
      </c>
      <c r="E465" s="1" t="n">
        <v>46312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37712-2026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46279</v>
      </c>
      <c r="E466" s="1" t="n">
        <v>46312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46312</v>
      </c>
      <c r="F467" t="inlineStr">
        <is>
          <t>HALLANDS LÄN</t>
        </is>
      </c>
      <c r="G467" t="inlineStr">
        <is>
          <t>HYLTE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46312</v>
      </c>
      <c r="F468" t="inlineStr">
        <is>
          <t>HALLANDS LÄN</t>
        </is>
      </c>
      <c r="G468" t="inlineStr">
        <is>
          <t>HYLTE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45414</v>
      </c>
      <c r="E469" s="1" t="n">
        <v>46312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46312</v>
      </c>
      <c r="F470" t="inlineStr">
        <is>
          <t>HALLANDS LÄN</t>
        </is>
      </c>
      <c r="G470" t="inlineStr">
        <is>
          <t>HYLTE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44651</v>
      </c>
      <c r="E471" s="1" t="n">
        <v>46312</v>
      </c>
      <c r="F471" t="inlineStr">
        <is>
          <t>HALLANDS LÄN</t>
        </is>
      </c>
      <c r="G471" t="inlineStr">
        <is>
          <t>HYLTE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45092</v>
      </c>
      <c r="E472" s="1" t="n">
        <v>46312</v>
      </c>
      <c r="F472" t="inlineStr">
        <is>
          <t>HALLANDS LÄN</t>
        </is>
      </c>
      <c r="G472" t="inlineStr">
        <is>
          <t>HYLTE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46312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46281</v>
      </c>
      <c r="E474" s="1" t="n">
        <v>46312</v>
      </c>
      <c r="F474" t="inlineStr">
        <is>
          <t>HALLANDS LÄN</t>
        </is>
      </c>
      <c r="G474" t="inlineStr">
        <is>
          <t>HYLTE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45051</v>
      </c>
      <c r="E475" s="1" t="n">
        <v>46312</v>
      </c>
      <c r="F475" t="inlineStr">
        <is>
          <t>HALLANDS LÄN</t>
        </is>
      </c>
      <c r="G475" t="inlineStr">
        <is>
          <t>HYLTE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46282</v>
      </c>
      <c r="E476" s="1" t="n">
        <v>46312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46312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46241</v>
      </c>
      <c r="E478" s="1" t="n">
        <v>46312</v>
      </c>
      <c r="F478" t="inlineStr">
        <is>
          <t>HALLANDS LÄN</t>
        </is>
      </c>
      <c r="G478" t="inlineStr">
        <is>
          <t>HYLTE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46312</v>
      </c>
      <c r="F479" t="inlineStr">
        <is>
          <t>HALLANDS LÄN</t>
        </is>
      </c>
      <c r="G479" t="inlineStr">
        <is>
          <t>HYLTE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46312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39037-2026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46283</v>
      </c>
      <c r="E481" s="1" t="n">
        <v>46312</v>
      </c>
      <c r="F481" t="inlineStr">
        <is>
          <t>HALLANDS LÄN</t>
        </is>
      </c>
      <c r="G481" t="inlineStr">
        <is>
          <t>HYLTE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46312</v>
      </c>
      <c r="F482" t="inlineStr">
        <is>
          <t>HALLANDS LÄN</t>
        </is>
      </c>
      <c r="G482" t="inlineStr">
        <is>
          <t>HYLTE</t>
        </is>
      </c>
      <c r="H482" t="inlineStr">
        <is>
          <t>Kyrkan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44813</v>
      </c>
      <c r="E483" s="1" t="n">
        <v>46312</v>
      </c>
      <c r="F483" t="inlineStr">
        <is>
          <t>HALLANDS LÄN</t>
        </is>
      </c>
      <c r="G483" t="inlineStr">
        <is>
          <t>HYLTE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46312</v>
      </c>
      <c r="F484" t="inlineStr">
        <is>
          <t>HALLANDS LÄN</t>
        </is>
      </c>
      <c r="G484" t="inlineStr">
        <is>
          <t>HYLTE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59627-2023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46312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46312</v>
      </c>
      <c r="F486" t="inlineStr">
        <is>
          <t>HALLANDS LÄN</t>
        </is>
      </c>
      <c r="G486" t="inlineStr">
        <is>
          <t>HYLTE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46312</v>
      </c>
      <c r="F487" t="inlineStr">
        <is>
          <t>HALLANDS LÄN</t>
        </is>
      </c>
      <c r="G487" t="inlineStr">
        <is>
          <t>HYLTE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46312</v>
      </c>
      <c r="F488" t="inlineStr">
        <is>
          <t>HALLANDS LÄN</t>
        </is>
      </c>
      <c r="G488" t="inlineStr">
        <is>
          <t>HYLTE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46312</v>
      </c>
      <c r="F489" t="inlineStr">
        <is>
          <t>HALLANDS LÄN</t>
        </is>
      </c>
      <c r="G489" t="inlineStr">
        <is>
          <t>HYLTE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46312</v>
      </c>
      <c r="F490" t="inlineStr">
        <is>
          <t>HALLANDS LÄN</t>
        </is>
      </c>
      <c r="G490" t="inlineStr">
        <is>
          <t>HYLTE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46312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46312</v>
      </c>
      <c r="F492" t="inlineStr">
        <is>
          <t>HALLANDS LÄN</t>
        </is>
      </c>
      <c r="G492" t="inlineStr">
        <is>
          <t>HYLTE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46312</v>
      </c>
      <c r="F493" t="inlineStr">
        <is>
          <t>HALLANDS LÄN</t>
        </is>
      </c>
      <c r="G493" t="inlineStr">
        <is>
          <t>HYLTE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46224</v>
      </c>
      <c r="E494" s="1" t="n">
        <v>46312</v>
      </c>
      <c r="F494" t="inlineStr">
        <is>
          <t>HALLANDS LÄN</t>
        </is>
      </c>
      <c r="G494" t="inlineStr">
        <is>
          <t>HYLTE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46312</v>
      </c>
      <c r="F495" t="inlineStr">
        <is>
          <t>HALLANDS LÄN</t>
        </is>
      </c>
      <c r="G495" t="inlineStr">
        <is>
          <t>HYLTE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45327</v>
      </c>
      <c r="E496" s="1" t="n">
        <v>46312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46312</v>
      </c>
      <c r="F497" t="inlineStr">
        <is>
          <t>HALLANDS LÄN</t>
        </is>
      </c>
      <c r="G497" t="inlineStr">
        <is>
          <t>HYLTE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46312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46312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44712</v>
      </c>
      <c r="E500" s="1" t="n">
        <v>46312</v>
      </c>
      <c r="F500" t="inlineStr">
        <is>
          <t>HALLANDS LÄN</t>
        </is>
      </c>
      <c r="G500" t="inlineStr">
        <is>
          <t>HYLTE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43366-2022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44834</v>
      </c>
      <c r="E501" s="1" t="n">
        <v>46312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46312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45229</v>
      </c>
      <c r="E503" s="1" t="n">
        <v>46312</v>
      </c>
      <c r="F503" t="inlineStr">
        <is>
          <t>HALLANDS LÄN</t>
        </is>
      </c>
      <c r="G503" t="inlineStr">
        <is>
          <t>HYLTE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44967</v>
      </c>
      <c r="E504" s="1" t="n">
        <v>46312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46312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46312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46248</v>
      </c>
      <c r="E507" s="1" t="n">
        <v>46312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46312</v>
      </c>
      <c r="F508" t="inlineStr">
        <is>
          <t>HALLANDS LÄN</t>
        </is>
      </c>
      <c r="G508" t="inlineStr">
        <is>
          <t>HYLTE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46248</v>
      </c>
      <c r="E509" s="1" t="n">
        <v>46312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46312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46292</v>
      </c>
      <c r="E511" s="1" t="n">
        <v>46312</v>
      </c>
      <c r="F511" t="inlineStr">
        <is>
          <t>HALLANDS LÄN</t>
        </is>
      </c>
      <c r="G511" t="inlineStr">
        <is>
          <t>HYLTE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46312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46312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46312</v>
      </c>
      <c r="F514" t="inlineStr">
        <is>
          <t>HALLANDS LÄN</t>
        </is>
      </c>
      <c r="G514" t="inlineStr">
        <is>
          <t>HYLTE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45368</v>
      </c>
      <c r="E515" s="1" t="n">
        <v>46312</v>
      </c>
      <c r="F515" t="inlineStr">
        <is>
          <t>HALLANDS LÄN</t>
        </is>
      </c>
      <c r="G515" t="inlineStr">
        <is>
          <t>HYLTE</t>
        </is>
      </c>
      <c r="H515" t="inlineStr">
        <is>
          <t>Kyrkan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46312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46312</v>
      </c>
      <c r="F517" t="inlineStr">
        <is>
          <t>HALLANDS LÄN</t>
        </is>
      </c>
      <c r="G517" t="inlineStr">
        <is>
          <t>HYLTE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46312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46312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46312</v>
      </c>
      <c r="F520" t="inlineStr">
        <is>
          <t>HALLANDS LÄN</t>
        </is>
      </c>
      <c r="G520" t="inlineStr">
        <is>
          <t>HYLTE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45229</v>
      </c>
      <c r="E521" s="1" t="n">
        <v>46312</v>
      </c>
      <c r="F521" t="inlineStr">
        <is>
          <t>HALLANDS LÄN</t>
        </is>
      </c>
      <c r="G521" t="inlineStr">
        <is>
          <t>HYLTE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46312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46312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46312</v>
      </c>
      <c r="F524" t="inlineStr">
        <is>
          <t>HALLANDS LÄN</t>
        </is>
      </c>
      <c r="G524" t="inlineStr">
        <is>
          <t>HYLTE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46312</v>
      </c>
      <c r="F525" t="inlineStr">
        <is>
          <t>HALLANDS LÄN</t>
        </is>
      </c>
      <c r="G525" t="inlineStr">
        <is>
          <t>HYLTE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45588</v>
      </c>
      <c r="E526" s="1" t="n">
        <v>46312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46312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46312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46312</v>
      </c>
      <c r="F529" t="inlineStr">
        <is>
          <t>HALLANDS LÄN</t>
        </is>
      </c>
      <c r="G529" t="inlineStr">
        <is>
          <t>HYLTE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46312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46312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46312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46312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45483</v>
      </c>
      <c r="E534" s="1" t="n">
        <v>46312</v>
      </c>
      <c r="F534" t="inlineStr">
        <is>
          <t>HALLANDS LÄN</t>
        </is>
      </c>
      <c r="G534" t="inlineStr">
        <is>
          <t>HYLTE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45680</v>
      </c>
      <c r="E535" s="1" t="n">
        <v>46312</v>
      </c>
      <c r="F535" t="inlineStr">
        <is>
          <t>HALLANDS LÄN</t>
        </is>
      </c>
      <c r="G535" t="inlineStr">
        <is>
          <t>HYLTE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45616</v>
      </c>
      <c r="E536" s="1" t="n">
        <v>46312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46292</v>
      </c>
      <c r="E537" s="1" t="n">
        <v>46312</v>
      </c>
      <c r="F537" t="inlineStr">
        <is>
          <t>HALLANDS LÄN</t>
        </is>
      </c>
      <c r="G537" t="inlineStr">
        <is>
          <t>HYLTE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52666-2023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46312</v>
      </c>
      <c r="F538" t="inlineStr">
        <is>
          <t>HALLANDS LÄN</t>
        </is>
      </c>
      <c r="G538" t="inlineStr">
        <is>
          <t>HYLTE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54818-2024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45618</v>
      </c>
      <c r="E539" s="1" t="n">
        <v>46312</v>
      </c>
      <c r="F539" t="inlineStr">
        <is>
          <t>HALLANDS LÄN</t>
        </is>
      </c>
      <c r="G539" t="inlineStr">
        <is>
          <t>HYLTE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46312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46312</v>
      </c>
      <c r="F541" t="inlineStr">
        <is>
          <t>HALLANDS LÄN</t>
        </is>
      </c>
      <c r="G541" t="inlineStr">
        <is>
          <t>HYLTE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46312</v>
      </c>
      <c r="F542" t="inlineStr">
        <is>
          <t>HALLANDS LÄN</t>
        </is>
      </c>
      <c r="G542" t="inlineStr">
        <is>
          <t>HYLTE</t>
        </is>
      </c>
      <c r="H542" t="inlineStr">
        <is>
          <t>Kyrkan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13789-2024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46312</v>
      </c>
      <c r="F543" t="inlineStr">
        <is>
          <t>HALLANDS LÄN</t>
        </is>
      </c>
      <c r="G543" t="inlineStr">
        <is>
          <t>HYLTE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46312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39968-2026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46292</v>
      </c>
      <c r="E545" s="1" t="n">
        <v>46312</v>
      </c>
      <c r="F545" t="inlineStr">
        <is>
          <t>HALLANDS LÄN</t>
        </is>
      </c>
      <c r="G545" t="inlineStr">
        <is>
          <t>HYLTE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46312</v>
      </c>
      <c r="F546" t="inlineStr">
        <is>
          <t>HALLANDS LÄN</t>
        </is>
      </c>
      <c r="G546" t="inlineStr">
        <is>
          <t>HYLTE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46292</v>
      </c>
      <c r="E547" s="1" t="n">
        <v>46312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46292</v>
      </c>
      <c r="E548" s="1" t="n">
        <v>46312</v>
      </c>
      <c r="F548" t="inlineStr">
        <is>
          <t>HALLANDS LÄN</t>
        </is>
      </c>
      <c r="G548" t="inlineStr">
        <is>
          <t>HYLTE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46312</v>
      </c>
      <c r="F549" t="inlineStr">
        <is>
          <t>HALLANDS LÄN</t>
        </is>
      </c>
      <c r="G549" t="inlineStr">
        <is>
          <t>HYLTE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46302</v>
      </c>
      <c r="E550" s="1" t="n">
        <v>46312</v>
      </c>
      <c r="F550" t="inlineStr">
        <is>
          <t>HALLANDS LÄN</t>
        </is>
      </c>
      <c r="G550" t="inlineStr">
        <is>
          <t>HYLTE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48217-2024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45590</v>
      </c>
      <c r="E551" s="1" t="n">
        <v>46312</v>
      </c>
      <c r="F551" t="inlineStr">
        <is>
          <t>HALLANDS LÄN</t>
        </is>
      </c>
      <c r="G551" t="inlineStr">
        <is>
          <t>HYLTE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46294</v>
      </c>
      <c r="E552" s="1" t="n">
        <v>46312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46312</v>
      </c>
      <c r="F553" t="inlineStr">
        <is>
          <t>HALLANDS LÄN</t>
        </is>
      </c>
      <c r="G553" t="inlineStr">
        <is>
          <t>HYLTE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14985-2025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46312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46292</v>
      </c>
      <c r="E555" s="1" t="n">
        <v>46312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45743</v>
      </c>
      <c r="E556" s="1" t="n">
        <v>46312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46312</v>
      </c>
      <c r="F557" t="inlineStr">
        <is>
          <t>HALLANDS LÄN</t>
        </is>
      </c>
      <c r="G557" t="inlineStr">
        <is>
          <t>HYLTE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23752-2025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45793</v>
      </c>
      <c r="E558" s="1" t="n">
        <v>46312</v>
      </c>
      <c r="F558" t="inlineStr">
        <is>
          <t>HALLANDS LÄN</t>
        </is>
      </c>
      <c r="G558" t="inlineStr">
        <is>
          <t>HYLTE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46312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45681</v>
      </c>
      <c r="E560" s="1" t="n">
        <v>46312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46312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46312</v>
      </c>
      <c r="F562" t="inlineStr">
        <is>
          <t>HALLANDS LÄN</t>
        </is>
      </c>
      <c r="G562" t="inlineStr">
        <is>
          <t>HYLTE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46312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46312</v>
      </c>
      <c r="F564" t="inlineStr">
        <is>
          <t>HALLANDS LÄN</t>
        </is>
      </c>
      <c r="G564" t="inlineStr">
        <is>
          <t>HYLTE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46312</v>
      </c>
      <c r="F565" t="inlineStr">
        <is>
          <t>HALLANDS LÄN</t>
        </is>
      </c>
      <c r="G565" t="inlineStr">
        <is>
          <t>HYLTE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26360-2025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45806</v>
      </c>
      <c r="E566" s="1" t="n">
        <v>46312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52625-2024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46312</v>
      </c>
      <c r="F567" t="inlineStr">
        <is>
          <t>HALLANDS LÄN</t>
        </is>
      </c>
      <c r="G567" t="inlineStr">
        <is>
          <t>HYLTE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46312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46312</v>
      </c>
      <c r="F569" t="inlineStr">
        <is>
          <t>HALLANDS LÄN</t>
        </is>
      </c>
      <c r="G569" t="inlineStr">
        <is>
          <t>HYLTE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46312</v>
      </c>
      <c r="F570" t="inlineStr">
        <is>
          <t>HALLANDS LÄN</t>
        </is>
      </c>
      <c r="G570" t="inlineStr">
        <is>
          <t>HYLTE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7783-2025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46312</v>
      </c>
      <c r="F571" t="inlineStr">
        <is>
          <t>HALLANDS LÄN</t>
        </is>
      </c>
      <c r="G571" t="inlineStr">
        <is>
          <t>HYLTE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45694</v>
      </c>
      <c r="E572" s="1" t="n">
        <v>46312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8185-2025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45708</v>
      </c>
      <c r="E573" s="1" t="n">
        <v>46312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46312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13516-2024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46312</v>
      </c>
      <c r="F575" t="inlineStr">
        <is>
          <t>HALLANDS LÄN</t>
        </is>
      </c>
      <c r="G575" t="inlineStr">
        <is>
          <t>HYLTE</t>
        </is>
      </c>
      <c r="I575" t="n">
        <v>11.1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12548-2025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46312</v>
      </c>
      <c r="F576" t="inlineStr">
        <is>
          <t>HALLANDS LÄN</t>
        </is>
      </c>
      <c r="G576" t="inlineStr">
        <is>
          <t>HYLTE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45820</v>
      </c>
      <c r="E577" s="1" t="n">
        <v>46312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46312</v>
      </c>
      <c r="F578" t="inlineStr">
        <is>
          <t>HALLANDS LÄN</t>
        </is>
      </c>
      <c r="G578" t="inlineStr">
        <is>
          <t>HYLTE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46312</v>
      </c>
      <c r="F579" t="inlineStr">
        <is>
          <t>HALLANDS LÄN</t>
        </is>
      </c>
      <c r="G579" t="inlineStr">
        <is>
          <t>HYLTE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45548</v>
      </c>
      <c r="E580" s="1" t="n">
        <v>46312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46268</v>
      </c>
      <c r="E581" s="1" t="n">
        <v>46312</v>
      </c>
      <c r="F581" t="inlineStr">
        <is>
          <t>HALLANDS LÄN</t>
        </is>
      </c>
      <c r="G581" t="inlineStr">
        <is>
          <t>HYLTE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46312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46312</v>
      </c>
      <c r="F583" t="inlineStr">
        <is>
          <t>HALLANDS LÄN</t>
        </is>
      </c>
      <c r="G583" t="inlineStr">
        <is>
          <t>HYLTE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46312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46312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46312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45840</v>
      </c>
      <c r="E587" s="1" t="n">
        <v>46312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33240-2025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45840</v>
      </c>
      <c r="E588" s="1" t="n">
        <v>46312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33207-2025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46312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46312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46312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46312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46312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46312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46312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46312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46312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46312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46312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46312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46312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45190</v>
      </c>
      <c r="E602" s="1" t="n">
        <v>46312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45293</v>
      </c>
      <c r="E603" s="1" t="n">
        <v>46312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46312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46312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45623</v>
      </c>
      <c r="E606" s="1" t="n">
        <v>46312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46312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46312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46312</v>
      </c>
      <c r="F609" t="inlineStr">
        <is>
          <t>HALLANDS LÄN</t>
        </is>
      </c>
      <c r="G609" t="inlineStr">
        <is>
          <t>HYLTE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38372-2024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45545</v>
      </c>
      <c r="E610" s="1" t="n">
        <v>46312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46312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45395</v>
      </c>
      <c r="E612" s="1" t="n">
        <v>46312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46312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46312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46312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46312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45257</v>
      </c>
      <c r="E617" s="1" t="n">
        <v>46312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46312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57378-2023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45245</v>
      </c>
      <c r="E619" s="1" t="n">
        <v>46312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45288</v>
      </c>
      <c r="E620" s="1" t="n">
        <v>46312</v>
      </c>
      <c r="F620" t="inlineStr">
        <is>
          <t>HALLANDS LÄN</t>
        </is>
      </c>
      <c r="G620" t="inlineStr">
        <is>
          <t>HYLTE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46312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44592</v>
      </c>
      <c r="E622" s="1" t="n">
        <v>46312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16295-2024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45407</v>
      </c>
      <c r="E623" s="1" t="n">
        <v>46312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46312</v>
      </c>
      <c r="F624" t="inlineStr">
        <is>
          <t>HALLANDS LÄN</t>
        </is>
      </c>
      <c r="G624" t="inlineStr">
        <is>
          <t>HYLTE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46312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46312</v>
      </c>
      <c r="F626" t="inlineStr">
        <is>
          <t>HALLANDS LÄN</t>
        </is>
      </c>
      <c r="G626" t="inlineStr">
        <is>
          <t>HYLTE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46312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46312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46312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46312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44889</v>
      </c>
      <c r="E631" s="1" t="n">
        <v>46312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46312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46312</v>
      </c>
      <c r="F633" t="inlineStr">
        <is>
          <t>HALLANDS LÄN</t>
        </is>
      </c>
      <c r="G633" t="inlineStr">
        <is>
          <t>HYLTE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46312</v>
      </c>
      <c r="F634" t="inlineStr">
        <is>
          <t>HALLANDS LÄN</t>
        </is>
      </c>
      <c r="G634" t="inlineStr">
        <is>
          <t>HYLTE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45199</v>
      </c>
      <c r="E635" s="1" t="n">
        <v>46312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11406-2024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46312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44712</v>
      </c>
      <c r="E637" s="1" t="n">
        <v>46312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45395</v>
      </c>
      <c r="E638" s="1" t="n">
        <v>46312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46312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45230</v>
      </c>
      <c r="E640" s="1" t="n">
        <v>46312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46312</v>
      </c>
      <c r="F641" t="inlineStr">
        <is>
          <t>HALLANDS LÄN</t>
        </is>
      </c>
      <c r="G641" t="inlineStr">
        <is>
          <t>HYLTE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44701</v>
      </c>
      <c r="E642" s="1" t="n">
        <v>46312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46312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45361</v>
      </c>
      <c r="E644" s="1" t="n">
        <v>46312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46312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46312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45679</v>
      </c>
      <c r="E647" s="1" t="n">
        <v>46312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46312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46312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46312</v>
      </c>
      <c r="F650" t="inlineStr">
        <is>
          <t>HALLANDS LÄN</t>
        </is>
      </c>
      <c r="G650" t="inlineStr">
        <is>
          <t>HYLTE</t>
        </is>
      </c>
      <c r="I650" t="n">
        <v>8.1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19675-2024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45432</v>
      </c>
      <c r="E651" s="1" t="n">
        <v>46312</v>
      </c>
      <c r="F651" t="inlineStr">
        <is>
          <t>HALLANDS LÄN</t>
        </is>
      </c>
      <c r="G651" t="inlineStr">
        <is>
          <t>HYLTE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45293</v>
      </c>
      <c r="E652" s="1" t="n">
        <v>46312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16410-2022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44671</v>
      </c>
      <c r="E653" s="1" t="n">
        <v>46312</v>
      </c>
      <c r="F653" t="inlineStr">
        <is>
          <t>HALLANDS LÄN</t>
        </is>
      </c>
      <c r="G653" t="inlineStr">
        <is>
          <t>HYLTE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34337-2023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45131</v>
      </c>
      <c r="E654" s="1" t="n">
        <v>46312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44551-2024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46312</v>
      </c>
      <c r="F655" t="inlineStr">
        <is>
          <t>HALLANDS LÄN</t>
        </is>
      </c>
      <c r="G655" t="inlineStr">
        <is>
          <t>HYLTE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45589</v>
      </c>
      <c r="E656" s="1" t="n">
        <v>46312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38381-2024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45546</v>
      </c>
      <c r="E657" s="1" t="n">
        <v>46312</v>
      </c>
      <c r="F657" t="inlineStr">
        <is>
          <t>HALLANDS LÄN</t>
        </is>
      </c>
      <c r="G657" t="inlineStr">
        <is>
          <t>HYLTE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55861-2024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46312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32444-2025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46312</v>
      </c>
      <c r="F659" t="inlineStr">
        <is>
          <t>HALLANDS LÄN</t>
        </is>
      </c>
      <c r="G659" t="inlineStr">
        <is>
          <t>HYLTE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39143-2022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44817</v>
      </c>
      <c r="E660" s="1" t="n">
        <v>46312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45257</v>
      </c>
      <c r="E661" s="1" t="n">
        <v>46312</v>
      </c>
      <c r="F661" t="inlineStr">
        <is>
          <t>HALLANDS LÄN</t>
        </is>
      </c>
      <c r="G661" t="inlineStr">
        <is>
          <t>HYLTE</t>
        </is>
      </c>
      <c r="H661" t="inlineStr">
        <is>
          <t>Kommuner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45245</v>
      </c>
      <c r="E662" s="1" t="n">
        <v>46312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46312</v>
      </c>
      <c r="F663" t="inlineStr">
        <is>
          <t>HALLANDS LÄN</t>
        </is>
      </c>
      <c r="G663" t="inlineStr">
        <is>
          <t>HYLTE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45877</v>
      </c>
      <c r="E664" s="1" t="n">
        <v>46312</v>
      </c>
      <c r="F664" t="inlineStr">
        <is>
          <t>HALLANDS LÄN</t>
        </is>
      </c>
      <c r="G664" t="inlineStr">
        <is>
          <t>HYLTE</t>
        </is>
      </c>
      <c r="I664" t="n">
        <v>7.1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46312</v>
      </c>
      <c r="F665" t="inlineStr">
        <is>
          <t>HALLANDS LÄN</t>
        </is>
      </c>
      <c r="G665" t="inlineStr">
        <is>
          <t>HYLTE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46312</v>
      </c>
      <c r="F666" t="inlineStr">
        <is>
          <t>HALLANDS LÄN</t>
        </is>
      </c>
      <c r="G666" t="inlineStr">
        <is>
          <t>HYLTE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37673-2025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46312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37675-2025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45880</v>
      </c>
      <c r="E668" s="1" t="n">
        <v>46312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46312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46312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46312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46312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46312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46312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46312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1038-2022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44613</v>
      </c>
      <c r="E676" s="1" t="n">
        <v>46312</v>
      </c>
      <c r="F676" t="inlineStr">
        <is>
          <t>HALLANDS LÄN</t>
        </is>
      </c>
      <c r="G676" t="inlineStr">
        <is>
          <t>HYLTE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559-2024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45349</v>
      </c>
      <c r="E677" s="1" t="n">
        <v>46312</v>
      </c>
      <c r="F677" t="inlineStr">
        <is>
          <t>HALLANDS LÄN</t>
        </is>
      </c>
      <c r="G677" t="inlineStr">
        <is>
          <t>HYLTE</t>
        </is>
      </c>
      <c r="I677" t="n">
        <v>14.4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953-2022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44608</v>
      </c>
      <c r="E678" s="1" t="n">
        <v>46312</v>
      </c>
      <c r="F678" t="inlineStr">
        <is>
          <t>HALLANDS LÄN</t>
        </is>
      </c>
      <c r="G678" t="inlineStr">
        <is>
          <t>HYLTE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1388-2022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46312</v>
      </c>
      <c r="F679" t="inlineStr">
        <is>
          <t>HALLANDS LÄN</t>
        </is>
      </c>
      <c r="G679" t="inlineStr">
        <is>
          <t>HYLTE</t>
        </is>
      </c>
      <c r="I679" t="n">
        <v>61.4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46312</v>
      </c>
      <c r="F680" t="inlineStr">
        <is>
          <t>HALLANDS LÄN</t>
        </is>
      </c>
      <c r="G680" t="inlineStr">
        <is>
          <t>HYLTE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46312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624-2025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45714</v>
      </c>
      <c r="E682" s="1" t="n">
        <v>46312</v>
      </c>
      <c r="F682" t="inlineStr">
        <is>
          <t>HALLANDS LÄN</t>
        </is>
      </c>
      <c r="G682" t="inlineStr">
        <is>
          <t>HYLTE</t>
        </is>
      </c>
      <c r="I682" t="n">
        <v>28.2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646-2025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46312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45709</v>
      </c>
      <c r="E684" s="1" t="n">
        <v>46312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46312</v>
      </c>
      <c r="F685" t="inlineStr">
        <is>
          <t>HALLANDS LÄN</t>
        </is>
      </c>
      <c r="G685" t="inlineStr">
        <is>
          <t>HYLTE</t>
        </is>
      </c>
      <c r="I685" t="n">
        <v>25.9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1772-2025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45813</v>
      </c>
      <c r="E686" s="1" t="n">
        <v>46312</v>
      </c>
      <c r="F686" t="inlineStr">
        <is>
          <t>HALLANDS LÄN</t>
        </is>
      </c>
      <c r="G686" t="inlineStr">
        <is>
          <t>HYLTE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46312</v>
      </c>
      <c r="F687" t="inlineStr">
        <is>
          <t>HALLANDS LÄN</t>
        </is>
      </c>
      <c r="G687" t="inlineStr">
        <is>
          <t>HYLTE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46312</v>
      </c>
      <c r="F688" t="inlineStr">
        <is>
          <t>HALLANDS LÄN</t>
        </is>
      </c>
      <c r="G688" t="inlineStr">
        <is>
          <t>HYLTE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1844-2025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45820</v>
      </c>
      <c r="E689" s="1" t="n">
        <v>46312</v>
      </c>
      <c r="F689" t="inlineStr">
        <is>
          <t>HALLANDS LÄN</t>
        </is>
      </c>
      <c r="G689" t="inlineStr">
        <is>
          <t>HYLTE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1925-2025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45827</v>
      </c>
      <c r="E690" s="1" t="n">
        <v>46312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2101-2025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45845</v>
      </c>
      <c r="E691" s="1" t="n">
        <v>46312</v>
      </c>
      <c r="F691" t="inlineStr">
        <is>
          <t>HALLANDS LÄN</t>
        </is>
      </c>
      <c r="G691" t="inlineStr">
        <is>
          <t>HYLTE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2312-2025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45883</v>
      </c>
      <c r="E692" s="1" t="n">
        <v>46312</v>
      </c>
      <c r="F692" t="inlineStr">
        <is>
          <t>HALLANDS LÄN</t>
        </is>
      </c>
      <c r="G692" t="inlineStr">
        <is>
          <t>HYLTE</t>
        </is>
      </c>
      <c r="I692" t="n">
        <v>55.7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2584-2025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45915</v>
      </c>
      <c r="E693" s="1" t="n">
        <v>46312</v>
      </c>
      <c r="F693" t="inlineStr">
        <is>
          <t>HALLANDS LÄN</t>
        </is>
      </c>
      <c r="G693" t="inlineStr">
        <is>
          <t>HYLTE</t>
        </is>
      </c>
      <c r="I693" t="n">
        <v>27.4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46041</v>
      </c>
      <c r="E694" s="1" t="n">
        <v>46312</v>
      </c>
      <c r="F694" t="inlineStr">
        <is>
          <t>HALLANDS LÄN</t>
        </is>
      </c>
      <c r="G694" t="inlineStr">
        <is>
          <t>HYLTE</t>
        </is>
      </c>
      <c r="I694" t="n">
        <v>29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1110-2026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46133</v>
      </c>
      <c r="E695" s="1" t="n">
        <v>46312</v>
      </c>
      <c r="F695" t="inlineStr">
        <is>
          <t>HALLANDS LÄN</t>
        </is>
      </c>
      <c r="G695" t="inlineStr">
        <is>
          <t>HYLTE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1268-2026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46147</v>
      </c>
      <c r="E696" s="1" t="n">
        <v>46312</v>
      </c>
      <c r="F696" t="inlineStr">
        <is>
          <t>HALLANDS LÄN</t>
        </is>
      </c>
      <c r="G696" t="inlineStr">
        <is>
          <t>HYLTE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46312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2516-2026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46290</v>
      </c>
      <c r="E698" s="1" t="n">
        <v>46312</v>
      </c>
      <c r="F698" t="inlineStr">
        <is>
          <t>HALLANDS LÄN</t>
        </is>
      </c>
      <c r="G698" t="inlineStr">
        <is>
          <t>HYLTE</t>
        </is>
      </c>
      <c r="I698" t="n">
        <v>18.4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46312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2026-10-17T02:05:16Z</dcterms:created>
  <dcterms:modified xmlns:dcterms="http://purl.org/dc/terms/" xmlns:xsi="http://www.w3.org/2001/XMLSchema-instance" xsi:type="dcterms:W3CDTF">2026-10-17T02:05:17Z</dcterms:modified>
</cp:coreProperties>
</file>