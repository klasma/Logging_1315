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46256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46256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46256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46256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46256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46256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46256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46256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46256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46256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46256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28009-2024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45476</v>
      </c>
      <c r="E22" s="1" t="n">
        <v>46256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Huggorm</t>
        </is>
      </c>
      <c r="W22">
        <f>HYPERLINK("https://klasma.github.io/Logging_1315/artfynd/A 28009-2024 artfynd.xlsx", "A 28009-2024")</f>
        <v/>
      </c>
      <c r="X22">
        <f>HYPERLINK("https://klasma.github.io/Logging_1315/kartor/A 28009-2024 karta.png", "A 28009-2024")</f>
        <v/>
      </c>
      <c r="Y22">
        <f>HYPERLINK("https://klasma.github.io/Logging_1315/kartor_geotiff/A 28009-2024 georefererad karta.tif", "A 28009-2024")</f>
        <v/>
      </c>
      <c r="AA22">
        <f>HYPERLINK("https://klasma.github.io/Logging_1315/klagomål/A 28009-2024 FSC-klagomål.docx", "A 28009-2024")</f>
        <v/>
      </c>
      <c r="AB22">
        <f>HYPERLINK("https://klasma.github.io/Logging_1315/klagomålsmail/A 28009-2024 FSC-klagomål mail.docx", "A 28009-2024")</f>
        <v/>
      </c>
      <c r="AC22">
        <f>HYPERLINK("https://klasma.github.io/Logging_1315/tillsyn/A 28009-2024 tillsynsbegäran.docx", "A 28009-2024")</f>
        <v/>
      </c>
      <c r="AD22">
        <f>HYPERLINK("https://klasma.github.io/Logging_1315/tillsynsmail/A 28009-2024 tillsynsbegäran mail.docx", "A 28009-2024")</f>
        <v/>
      </c>
    </row>
    <row r="23" ht="15" customHeight="1">
      <c r="A23" t="inlineStr">
        <is>
          <t>A 38854-2023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45163</v>
      </c>
      <c r="E23" s="1" t="n">
        <v>46256</v>
      </c>
      <c r="F23" t="inlineStr">
        <is>
          <t>HALLANDS LÄN</t>
        </is>
      </c>
      <c r="G23" t="inlineStr">
        <is>
          <t>HYLTE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Borsttåg</t>
        </is>
      </c>
      <c r="W23">
        <f>HYPERLINK("https://klasma.github.io/Logging_1315/artfynd/A 38854-2023 artfynd.xlsx", "A 38854-2023")</f>
        <v/>
      </c>
      <c r="X23">
        <f>HYPERLINK("https://klasma.github.io/Logging_1315/kartor/A 38854-2023 karta.png", "A 38854-2023")</f>
        <v/>
      </c>
      <c r="Y23">
        <f>HYPERLINK("https://klasma.github.io/Logging_1315/kartor_geotiff/A 38854-2023 georefererad karta.tif", "A 38854-2023")</f>
        <v/>
      </c>
      <c r="AA23">
        <f>HYPERLINK("https://klasma.github.io/Logging_1315/klagomål/A 38854-2023 FSC-klagomål.docx", "A 38854-2023")</f>
        <v/>
      </c>
      <c r="AB23">
        <f>HYPERLINK("https://klasma.github.io/Logging_1315/klagomålsmail/A 38854-2023 FSC-klagomål mail.docx", "A 38854-2023")</f>
        <v/>
      </c>
      <c r="AC23">
        <f>HYPERLINK("https://klasma.github.io/Logging_1315/tillsyn/A 38854-2023 tillsynsbegäran.docx", "A 38854-2023")</f>
        <v/>
      </c>
      <c r="AD23">
        <f>HYPERLINK("https://klasma.github.io/Logging_1315/tillsynsmail/A 38854-2023 tillsynsbegäran mail.docx", "A 38854-2023")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46256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57230-2023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46256</v>
      </c>
      <c r="F25" t="inlineStr">
        <is>
          <t>HALLANDS LÄN</t>
        </is>
      </c>
      <c r="G25" t="inlineStr">
        <is>
          <t>HYLTE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HYPERLINK("https://klasma.github.io/Logging_1315/artfynd/A 57230-2023 artfynd.xlsx", "A 57230-2023")</f>
        <v/>
      </c>
      <c r="X25">
        <f>HYPERLINK("https://klasma.github.io/Logging_1315/kartor/A 57230-2023 karta.png", "A 57230-2023")</f>
        <v/>
      </c>
      <c r="Y25">
        <f>HYPERLINK("https://klasma.github.io/Logging_1315/kartor_geotiff/A 57230-2023 georefererad karta.tif", "A 57230-2023")</f>
        <v/>
      </c>
      <c r="AA25">
        <f>HYPERLINK("https://klasma.github.io/Logging_1315/klagomål/A 57230-2023 FSC-klagomål.docx", "A 57230-2023")</f>
        <v/>
      </c>
      <c r="AB25">
        <f>HYPERLINK("https://klasma.github.io/Logging_1315/klagomålsmail/A 57230-2023 FSC-klagomål mail.docx", "A 57230-2023")</f>
        <v/>
      </c>
      <c r="AC25">
        <f>HYPERLINK("https://klasma.github.io/Logging_1315/tillsyn/A 57230-2023 tillsynsbegäran.docx", "A 57230-2023")</f>
        <v/>
      </c>
      <c r="AD25">
        <f>HYPERLINK("https://klasma.github.io/Logging_1315/tillsynsmail/A 57230-2023 tillsynsbegäran mail.docx", "A 57230-2023")</f>
        <v/>
      </c>
    </row>
    <row r="26" ht="15" customHeight="1">
      <c r="A26" t="inlineStr">
        <is>
          <t>A 48503-2024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46256</v>
      </c>
      <c r="F26" t="inlineStr">
        <is>
          <t>HALLANDS LÄN</t>
        </is>
      </c>
      <c r="G26" t="inlineStr">
        <is>
          <t>HYLTE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HYPERLINK("https://klasma.github.io/Logging_1315/artfynd/A 48503-2024 artfynd.xlsx", "A 48503-2024")</f>
        <v/>
      </c>
      <c r="X26">
        <f>HYPERLINK("https://klasma.github.io/Logging_1315/kartor/A 48503-2024 karta.png", "A 48503-2024")</f>
        <v/>
      </c>
      <c r="Y26">
        <f>HYPERLINK("https://klasma.github.io/Logging_1315/kartor_geotiff/A 48503-2024 georefererad karta.tif", "A 48503-2024")</f>
        <v/>
      </c>
      <c r="AA26">
        <f>HYPERLINK("https://klasma.github.io/Logging_1315/klagomål/A 48503-2024 FSC-klagomål.docx", "A 48503-2024")</f>
        <v/>
      </c>
      <c r="AB26">
        <f>HYPERLINK("https://klasma.github.io/Logging_1315/klagomålsmail/A 48503-2024 FSC-klagomål mail.docx", "A 48503-2024")</f>
        <v/>
      </c>
      <c r="AC26">
        <f>HYPERLINK("https://klasma.github.io/Logging_1315/tillsyn/A 48503-2024 tillsynsbegäran.docx", "A 48503-2024")</f>
        <v/>
      </c>
      <c r="AD26">
        <f>HYPERLINK("https://klasma.github.io/Logging_1315/tillsynsmail/A 48503-2024 tillsynsbegäran mail.docx", "A 48503-2024")</f>
        <v/>
      </c>
    </row>
    <row r="27" ht="15" customHeight="1">
      <c r="A27" t="inlineStr">
        <is>
          <t>A 36722-2023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46256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11.6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HYPERLINK("https://klasma.github.io/Logging_1315/artfynd/A 36722-2023 artfynd.xlsx", "A 36722-2023")</f>
        <v/>
      </c>
      <c r="X27">
        <f>HYPERLINK("https://klasma.github.io/Logging_1315/kartor/A 36722-2023 karta.png", "A 36722-2023")</f>
        <v/>
      </c>
      <c r="Y27">
        <f>HYPERLINK("https://klasma.github.io/Logging_1315/kartor_geotiff/A 36722-2023 georefererad karta.tif", "A 36722-2023")</f>
        <v/>
      </c>
      <c r="AA27">
        <f>HYPERLINK("https://klasma.github.io/Logging_1315/klagomål/A 36722-2023 FSC-klagomål.docx", "A 36722-2023")</f>
        <v/>
      </c>
      <c r="AB27">
        <f>HYPERLINK("https://klasma.github.io/Logging_1315/klagomålsmail/A 36722-2023 FSC-klagomål mail.docx", "A 36722-2023")</f>
        <v/>
      </c>
      <c r="AC27">
        <f>HYPERLINK("https://klasma.github.io/Logging_1315/tillsyn/A 36722-2023 tillsynsbegäran.docx", "A 36722-2023")</f>
        <v/>
      </c>
      <c r="AD27">
        <f>HYPERLINK("https://klasma.github.io/Logging_1315/tillsynsmail/A 36722-2023 tillsynsbegäran mail.docx", "A 36722-2023")</f>
        <v/>
      </c>
      <c r="AE27">
        <f>HYPERLINK("https://klasma.github.io/Logging_1315/fåglar/A 36722-2023 prioriterade fågelarter.docx", "A 36722-2023")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46256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57134-2023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46256</v>
      </c>
      <c r="F29" t="inlineStr">
        <is>
          <t>HALLANDS LÄN</t>
        </is>
      </c>
      <c r="G29" t="inlineStr">
        <is>
          <t>HYLTE</t>
        </is>
      </c>
      <c r="I29" t="n">
        <v>2.2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Vildris</t>
        </is>
      </c>
      <c r="W29">
        <f>HYPERLINK("https://klasma.github.io/Logging_1315/artfynd/A 57134-2023 artfynd.xlsx", "A 57134-2023")</f>
        <v/>
      </c>
      <c r="X29">
        <f>HYPERLINK("https://klasma.github.io/Logging_1315/kartor/A 57134-2023 karta.png", "A 57134-2023")</f>
        <v/>
      </c>
      <c r="Y29">
        <f>HYPERLINK("https://klasma.github.io/Logging_1315/kartor_geotiff/A 57134-2023 georefererad karta.tif", "A 57134-2023")</f>
        <v/>
      </c>
      <c r="AA29">
        <f>HYPERLINK("https://klasma.github.io/Logging_1315/klagomål/A 57134-2023 FSC-klagomål.docx", "A 57134-2023")</f>
        <v/>
      </c>
      <c r="AB29">
        <f>HYPERLINK("https://klasma.github.io/Logging_1315/klagomålsmail/A 57134-2023 FSC-klagomål mail.docx", "A 57134-2023")</f>
        <v/>
      </c>
      <c r="AC29">
        <f>HYPERLINK("https://klasma.github.io/Logging_1315/tillsyn/A 57134-2023 tillsynsbegäran.docx", "A 57134-2023")</f>
        <v/>
      </c>
      <c r="AD29">
        <f>HYPERLINK("https://klasma.github.io/Logging_1315/tillsynsmail/A 57134-2023 tillsynsbegäran mail.docx", "A 57134-2023")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46256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46256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46256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46256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46256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46256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46256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46256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46256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46256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46256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46256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46256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46256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46256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46256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46256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46256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46256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46256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46256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46256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46256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46256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46256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46256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46256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46256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46256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46256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46256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46256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46256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46256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46256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46256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46256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46256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46256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46256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46256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46256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46256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46256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46256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46256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46256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46256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46256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46256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46256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46256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46256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46256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46256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46256</v>
      </c>
      <c r="F86" t="inlineStr">
        <is>
          <t>HALLANDS LÄN</t>
        </is>
      </c>
      <c r="G86" t="inlineStr">
        <is>
          <t>HYLTE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46256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46256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45840</v>
      </c>
      <c r="E89" s="1" t="n">
        <v>46256</v>
      </c>
      <c r="F89" t="inlineStr">
        <is>
          <t>HALLANDS LÄN</t>
        </is>
      </c>
      <c r="G89" t="inlineStr">
        <is>
          <t>HYLTE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46256</v>
      </c>
      <c r="F90" t="inlineStr">
        <is>
          <t>HALLANDS LÄN</t>
        </is>
      </c>
      <c r="G90" t="inlineStr">
        <is>
          <t>HYLTE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46256</v>
      </c>
      <c r="F91" t="inlineStr">
        <is>
          <t>HALLANDS LÄN</t>
        </is>
      </c>
      <c r="G91" t="inlineStr">
        <is>
          <t>HYLTE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45806</v>
      </c>
      <c r="E92" s="1" t="n">
        <v>46256</v>
      </c>
      <c r="F92" t="inlineStr">
        <is>
          <t>HALLANDS LÄN</t>
        </is>
      </c>
      <c r="G92" t="inlineStr">
        <is>
          <t>HYLTE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45609</v>
      </c>
      <c r="E93" s="1" t="n">
        <v>46256</v>
      </c>
      <c r="F93" t="inlineStr">
        <is>
          <t>HALLANDS LÄN</t>
        </is>
      </c>
      <c r="G93" t="inlineStr">
        <is>
          <t>HYLTE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44644</v>
      </c>
      <c r="E94" s="1" t="n">
        <v>46256</v>
      </c>
      <c r="F94" t="inlineStr">
        <is>
          <t>HALLANDS LÄN</t>
        </is>
      </c>
      <c r="G94" t="inlineStr">
        <is>
          <t>HYLTE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67290-2021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46256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44500</v>
      </c>
      <c r="E96" s="1" t="n">
        <v>46256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45674</v>
      </c>
      <c r="E97" s="1" t="n">
        <v>46256</v>
      </c>
      <c r="F97" t="inlineStr">
        <is>
          <t>HALLANDS LÄN</t>
        </is>
      </c>
      <c r="G97" t="inlineStr">
        <is>
          <t>HYLTE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46256</v>
      </c>
      <c r="F98" t="inlineStr">
        <is>
          <t>HALLANDS LÄN</t>
        </is>
      </c>
      <c r="G98" t="inlineStr">
        <is>
          <t>HYLTE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45673</v>
      </c>
      <c r="E99" s="1" t="n">
        <v>46256</v>
      </c>
      <c r="F99" t="inlineStr">
        <is>
          <t>HALLANDS LÄN</t>
        </is>
      </c>
      <c r="G99" t="inlineStr">
        <is>
          <t>HYLTE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21308-2022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44705</v>
      </c>
      <c r="E100" s="1" t="n">
        <v>46256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44659</v>
      </c>
      <c r="E101" s="1" t="n">
        <v>46256</v>
      </c>
      <c r="F101" t="inlineStr">
        <is>
          <t>HALLANDS LÄN</t>
        </is>
      </c>
      <c r="G101" t="inlineStr">
        <is>
          <t>HYLTE</t>
        </is>
      </c>
      <c r="H101" t="inlineStr">
        <is>
          <t>Bergvik skog väst AB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15328-2022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44659</v>
      </c>
      <c r="E102" s="1" t="n">
        <v>46256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46256</v>
      </c>
      <c r="F103" t="inlineStr">
        <is>
          <t>HALLANDS LÄN</t>
        </is>
      </c>
      <c r="G103" t="inlineStr">
        <is>
          <t>HYLTE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46256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46256</v>
      </c>
      <c r="F105" t="inlineStr">
        <is>
          <t>HALLANDS LÄN</t>
        </is>
      </c>
      <c r="G105" t="inlineStr">
        <is>
          <t>HYLTE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46256</v>
      </c>
      <c r="F106" t="inlineStr">
        <is>
          <t>HALLANDS LÄN</t>
        </is>
      </c>
      <c r="G106" t="inlineStr">
        <is>
          <t>HYLTE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46256</v>
      </c>
      <c r="F107" t="inlineStr">
        <is>
          <t>HALLANDS LÄN</t>
        </is>
      </c>
      <c r="G107" t="inlineStr">
        <is>
          <t>HYLTE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45687</v>
      </c>
      <c r="E108" s="1" t="n">
        <v>46256</v>
      </c>
      <c r="F108" t="inlineStr">
        <is>
          <t>HALLANDS LÄN</t>
        </is>
      </c>
      <c r="G108" t="inlineStr">
        <is>
          <t>HYLTE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44495</v>
      </c>
      <c r="E109" s="1" t="n">
        <v>46256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46256</v>
      </c>
      <c r="F110" t="inlineStr">
        <is>
          <t>HALLANDS LÄN</t>
        </is>
      </c>
      <c r="G110" t="inlineStr">
        <is>
          <t>HYLTE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46256</v>
      </c>
      <c r="F111" t="inlineStr">
        <is>
          <t>HALLANDS LÄN</t>
        </is>
      </c>
      <c r="G111" t="inlineStr">
        <is>
          <t>HYLTE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46256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46256</v>
      </c>
      <c r="F113" t="inlineStr">
        <is>
          <t>HALLANDS LÄN</t>
        </is>
      </c>
      <c r="G113" t="inlineStr">
        <is>
          <t>HYLTE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46256</v>
      </c>
      <c r="F114" t="inlineStr">
        <is>
          <t>HALLANDS LÄN</t>
        </is>
      </c>
      <c r="G114" t="inlineStr">
        <is>
          <t>HYLTE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44851</v>
      </c>
      <c r="E115" s="1" t="n">
        <v>46256</v>
      </c>
      <c r="F115" t="inlineStr">
        <is>
          <t>HALLANDS LÄN</t>
        </is>
      </c>
      <c r="G115" t="inlineStr">
        <is>
          <t>HYLTE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44851</v>
      </c>
      <c r="E116" s="1" t="n">
        <v>46256</v>
      </c>
      <c r="F116" t="inlineStr">
        <is>
          <t>HALLANDS LÄN</t>
        </is>
      </c>
      <c r="G116" t="inlineStr">
        <is>
          <t>HYLTE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20763-2022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46256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45694</v>
      </c>
      <c r="E118" s="1" t="n">
        <v>46256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46256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46256</v>
      </c>
      <c r="F120" t="inlineStr">
        <is>
          <t>HALLANDS LÄN</t>
        </is>
      </c>
      <c r="G120" t="inlineStr">
        <is>
          <t>HYLTE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46256</v>
      </c>
      <c r="F121" t="inlineStr">
        <is>
          <t>HALLANDS LÄN</t>
        </is>
      </c>
      <c r="G121" t="inlineStr">
        <is>
          <t>HYLTE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46256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46256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46256</v>
      </c>
      <c r="F124" t="inlineStr">
        <is>
          <t>HALLANDS LÄN</t>
        </is>
      </c>
      <c r="G124" t="inlineStr">
        <is>
          <t>HYLTE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46256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45132</v>
      </c>
      <c r="E126" s="1" t="n">
        <v>46256</v>
      </c>
      <c r="F126" t="inlineStr">
        <is>
          <t>HALLANDS LÄN</t>
        </is>
      </c>
      <c r="G126" t="inlineStr">
        <is>
          <t>HYLTE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46256</v>
      </c>
      <c r="F127" t="inlineStr">
        <is>
          <t>HALLANDS LÄN</t>
        </is>
      </c>
      <c r="G127" t="inlineStr">
        <is>
          <t>HYLTE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46256</v>
      </c>
      <c r="F128" t="inlineStr">
        <is>
          <t>HALLANDS LÄN</t>
        </is>
      </c>
      <c r="G128" t="inlineStr">
        <is>
          <t>HYLTE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46256</v>
      </c>
      <c r="F129" t="inlineStr">
        <is>
          <t>HALLANDS LÄN</t>
        </is>
      </c>
      <c r="G129" t="inlineStr">
        <is>
          <t>HYLTE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45568</v>
      </c>
      <c r="E130" s="1" t="n">
        <v>46256</v>
      </c>
      <c r="F130" t="inlineStr">
        <is>
          <t>HALLANDS LÄN</t>
        </is>
      </c>
      <c r="G130" t="inlineStr">
        <is>
          <t>HYLTE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46256</v>
      </c>
      <c r="F131" t="inlineStr">
        <is>
          <t>HALLANDS LÄN</t>
        </is>
      </c>
      <c r="G131" t="inlineStr">
        <is>
          <t>HYLTE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46256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46256</v>
      </c>
      <c r="F133" t="inlineStr">
        <is>
          <t>HALLANDS LÄN</t>
        </is>
      </c>
      <c r="G133" t="inlineStr">
        <is>
          <t>HYLTE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45387</v>
      </c>
      <c r="E134" s="1" t="n">
        <v>46256</v>
      </c>
      <c r="F134" t="inlineStr">
        <is>
          <t>HALLANDS LÄN</t>
        </is>
      </c>
      <c r="G134" t="inlineStr">
        <is>
          <t>HYLTE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46256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44797</v>
      </c>
      <c r="E136" s="1" t="n">
        <v>46256</v>
      </c>
      <c r="F136" t="inlineStr">
        <is>
          <t>HALLANDS LÄN</t>
        </is>
      </c>
      <c r="G136" t="inlineStr">
        <is>
          <t>HYLTE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46256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46256</v>
      </c>
      <c r="F138" t="inlineStr">
        <is>
          <t>HALLANDS LÄN</t>
        </is>
      </c>
      <c r="G138" t="inlineStr">
        <is>
          <t>HYLTE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46256</v>
      </c>
      <c r="F139" t="inlineStr">
        <is>
          <t>HALLANDS LÄN</t>
        </is>
      </c>
      <c r="G139" t="inlineStr">
        <is>
          <t>HYLTE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46256</v>
      </c>
      <c r="F140" t="inlineStr">
        <is>
          <t>HALLANDS LÄN</t>
        </is>
      </c>
      <c r="G140" t="inlineStr">
        <is>
          <t>HYLTE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46256</v>
      </c>
      <c r="F141" t="inlineStr">
        <is>
          <t>HALLANDS LÄN</t>
        </is>
      </c>
      <c r="G141" t="inlineStr">
        <is>
          <t>HYLTE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46256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46256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46256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46256</v>
      </c>
      <c r="F145" t="inlineStr">
        <is>
          <t>HALLANDS LÄN</t>
        </is>
      </c>
      <c r="G145" t="inlineStr">
        <is>
          <t>HYLTE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46256</v>
      </c>
      <c r="F146" t="inlineStr">
        <is>
          <t>HALLANDS LÄN</t>
        </is>
      </c>
      <c r="G146" t="inlineStr">
        <is>
          <t>HYLTE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46256</v>
      </c>
      <c r="F147" t="inlineStr">
        <is>
          <t>HALLANDS LÄN</t>
        </is>
      </c>
      <c r="G147" t="inlineStr">
        <is>
          <t>HYLTE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46256</v>
      </c>
      <c r="F148" t="inlineStr">
        <is>
          <t>HALLANDS LÄN</t>
        </is>
      </c>
      <c r="G148" t="inlineStr">
        <is>
          <t>HYLTE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46256</v>
      </c>
      <c r="F149" t="inlineStr">
        <is>
          <t>HALLANDS LÄN</t>
        </is>
      </c>
      <c r="G149" t="inlineStr">
        <is>
          <t>HYLTE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46256</v>
      </c>
      <c r="F150" t="inlineStr">
        <is>
          <t>HALLANDS LÄN</t>
        </is>
      </c>
      <c r="G150" t="inlineStr">
        <is>
          <t>HYLTE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46256</v>
      </c>
      <c r="F151" t="inlineStr">
        <is>
          <t>HALLANDS LÄN</t>
        </is>
      </c>
      <c r="G151" t="inlineStr">
        <is>
          <t>HYLTE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44899</v>
      </c>
      <c r="E152" s="1" t="n">
        <v>46256</v>
      </c>
      <c r="F152" t="inlineStr">
        <is>
          <t>HALLANDS LÄN</t>
        </is>
      </c>
      <c r="G152" t="inlineStr">
        <is>
          <t>HYLTE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46256</v>
      </c>
      <c r="F153" t="inlineStr">
        <is>
          <t>HALLANDS LÄN</t>
        </is>
      </c>
      <c r="G153" t="inlineStr">
        <is>
          <t>HYLTE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46256</v>
      </c>
      <c r="F154" t="inlineStr">
        <is>
          <t>HALLANDS LÄN</t>
        </is>
      </c>
      <c r="G154" t="inlineStr">
        <is>
          <t>HYLTE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46256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74307-2021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44559</v>
      </c>
      <c r="E156" s="1" t="n">
        <v>46256</v>
      </c>
      <c r="F156" t="inlineStr">
        <is>
          <t>HALLANDS LÄN</t>
        </is>
      </c>
      <c r="G156" t="inlineStr">
        <is>
          <t>HYLTE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46256</v>
      </c>
      <c r="F157" t="inlineStr">
        <is>
          <t>HALLANDS LÄN</t>
        </is>
      </c>
      <c r="G157" t="inlineStr">
        <is>
          <t>HYLTE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46256</v>
      </c>
      <c r="F158" t="inlineStr">
        <is>
          <t>HALLANDS LÄN</t>
        </is>
      </c>
      <c r="G158" t="inlineStr">
        <is>
          <t>HYLTE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46256</v>
      </c>
      <c r="F159" t="inlineStr">
        <is>
          <t>HALLANDS LÄN</t>
        </is>
      </c>
      <c r="G159" t="inlineStr">
        <is>
          <t>HYLTE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46256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45910</v>
      </c>
      <c r="E161" s="1" t="n">
        <v>46256</v>
      </c>
      <c r="F161" t="inlineStr">
        <is>
          <t>HALLANDS LÄN</t>
        </is>
      </c>
      <c r="G161" t="inlineStr">
        <is>
          <t>HYLTE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46256</v>
      </c>
      <c r="F162" t="inlineStr">
        <is>
          <t>HALLANDS LÄN</t>
        </is>
      </c>
      <c r="G162" t="inlineStr">
        <is>
          <t>HYLTE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44694</v>
      </c>
      <c r="E163" s="1" t="n">
        <v>46256</v>
      </c>
      <c r="F163" t="inlineStr">
        <is>
          <t>HALLANDS LÄN</t>
        </is>
      </c>
      <c r="G163" t="inlineStr">
        <is>
          <t>HYLTE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46256</v>
      </c>
      <c r="F164" t="inlineStr">
        <is>
          <t>HALLANDS LÄN</t>
        </is>
      </c>
      <c r="G164" t="inlineStr">
        <is>
          <t>HYLTE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46256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46256</v>
      </c>
      <c r="F166" t="inlineStr">
        <is>
          <t>HALLANDS LÄN</t>
        </is>
      </c>
      <c r="G166" t="inlineStr">
        <is>
          <t>HYLTE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46256</v>
      </c>
      <c r="F167" t="inlineStr">
        <is>
          <t>HALLANDS LÄN</t>
        </is>
      </c>
      <c r="G167" t="inlineStr">
        <is>
          <t>HYLTE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44926</v>
      </c>
      <c r="E168" s="1" t="n">
        <v>46256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46256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49599-2021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44455</v>
      </c>
      <c r="E170" s="1" t="n">
        <v>46256</v>
      </c>
      <c r="F170" t="inlineStr">
        <is>
          <t>HALLANDS LÄN</t>
        </is>
      </c>
      <c r="G170" t="inlineStr">
        <is>
          <t>HYLTE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46256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46256</v>
      </c>
      <c r="F172" t="inlineStr">
        <is>
          <t>HALLANDS LÄN</t>
        </is>
      </c>
      <c r="G172" t="inlineStr">
        <is>
          <t>HYLTE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46256</v>
      </c>
      <c r="F173" t="inlineStr">
        <is>
          <t>HALLANDS LÄN</t>
        </is>
      </c>
      <c r="G173" t="inlineStr">
        <is>
          <t>HYLTE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46256</v>
      </c>
      <c r="F174" t="inlineStr">
        <is>
          <t>HALLANDS LÄN</t>
        </is>
      </c>
      <c r="G174" t="inlineStr">
        <is>
          <t>HYLTE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46256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46256</v>
      </c>
      <c r="F176" t="inlineStr">
        <is>
          <t>HALLANDS LÄN</t>
        </is>
      </c>
      <c r="G176" t="inlineStr">
        <is>
          <t>HYLTE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46256</v>
      </c>
      <c r="F177" t="inlineStr">
        <is>
          <t>HALLANDS LÄN</t>
        </is>
      </c>
      <c r="G177" t="inlineStr">
        <is>
          <t>HYLTE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46256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46256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46256</v>
      </c>
      <c r="F180" t="inlineStr">
        <is>
          <t>HALLANDS LÄN</t>
        </is>
      </c>
      <c r="G180" t="inlineStr">
        <is>
          <t>HYLTE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46256</v>
      </c>
      <c r="F181" t="inlineStr">
        <is>
          <t>HALLANDS LÄN</t>
        </is>
      </c>
      <c r="G181" t="inlineStr">
        <is>
          <t>HYLTE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45084</v>
      </c>
      <c r="E182" s="1" t="n">
        <v>46256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46256</v>
      </c>
      <c r="F183" t="inlineStr">
        <is>
          <t>HALLANDS LÄN</t>
        </is>
      </c>
      <c r="G183" t="inlineStr">
        <is>
          <t>HYLTE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46256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46256</v>
      </c>
      <c r="F185" t="inlineStr">
        <is>
          <t>HALLANDS LÄN</t>
        </is>
      </c>
      <c r="G185" t="inlineStr">
        <is>
          <t>HYLTE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46256</v>
      </c>
      <c r="F186" t="inlineStr">
        <is>
          <t>HALLANDS LÄN</t>
        </is>
      </c>
      <c r="G186" t="inlineStr">
        <is>
          <t>HYLTE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46256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46256</v>
      </c>
      <c r="F188" t="inlineStr">
        <is>
          <t>HALLANDS LÄN</t>
        </is>
      </c>
      <c r="G188" t="inlineStr">
        <is>
          <t>HYLTE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46256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46256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46256</v>
      </c>
      <c r="F191" t="inlineStr">
        <is>
          <t>HALLANDS LÄN</t>
        </is>
      </c>
      <c r="G191" t="inlineStr">
        <is>
          <t>HYLTE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46256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46256</v>
      </c>
      <c r="F193" t="inlineStr">
        <is>
          <t>HALLANDS LÄN</t>
        </is>
      </c>
      <c r="G193" t="inlineStr">
        <is>
          <t>HYLTE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46256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46256</v>
      </c>
      <c r="F195" t="inlineStr">
        <is>
          <t>HALLANDS LÄN</t>
        </is>
      </c>
      <c r="G195" t="inlineStr">
        <is>
          <t>HYLTE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51223-2022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44868</v>
      </c>
      <c r="E196" s="1" t="n">
        <v>46256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46256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46256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46256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44910</v>
      </c>
      <c r="E200" s="1" t="n">
        <v>46256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46256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44823</v>
      </c>
      <c r="E202" s="1" t="n">
        <v>46256</v>
      </c>
      <c r="F202" t="inlineStr">
        <is>
          <t>HALLANDS LÄN</t>
        </is>
      </c>
      <c r="G202" t="inlineStr">
        <is>
          <t>HYLTE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46256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46256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46256</v>
      </c>
      <c r="F205" t="inlineStr">
        <is>
          <t>HALLANDS LÄN</t>
        </is>
      </c>
      <c r="G205" t="inlineStr">
        <is>
          <t>HYLTE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46256</v>
      </c>
      <c r="F206" t="inlineStr">
        <is>
          <t>HALLANDS LÄN</t>
        </is>
      </c>
      <c r="G206" t="inlineStr">
        <is>
          <t>HYLTE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46256</v>
      </c>
      <c r="F207" t="inlineStr">
        <is>
          <t>HALLANDS LÄN</t>
        </is>
      </c>
      <c r="G207" t="inlineStr">
        <is>
          <t>HYLTE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46256</v>
      </c>
      <c r="F208" t="inlineStr">
        <is>
          <t>HALLANDS LÄN</t>
        </is>
      </c>
      <c r="G208" t="inlineStr">
        <is>
          <t>HYLTE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46256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46256</v>
      </c>
      <c r="F210" t="inlineStr">
        <is>
          <t>HALLANDS LÄN</t>
        </is>
      </c>
      <c r="G210" t="inlineStr">
        <is>
          <t>HYLTE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46256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46256</v>
      </c>
      <c r="F212" t="inlineStr">
        <is>
          <t>HALLANDS LÄN</t>
        </is>
      </c>
      <c r="G212" t="inlineStr">
        <is>
          <t>HYLTE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46256</v>
      </c>
      <c r="F213" t="inlineStr">
        <is>
          <t>HALLANDS LÄN</t>
        </is>
      </c>
      <c r="G213" t="inlineStr">
        <is>
          <t>HYLTE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46256</v>
      </c>
      <c r="F214" t="inlineStr">
        <is>
          <t>HALLANDS LÄN</t>
        </is>
      </c>
      <c r="G214" t="inlineStr">
        <is>
          <t>HYLTE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46256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46256</v>
      </c>
      <c r="F216" t="inlineStr">
        <is>
          <t>HALLANDS LÄN</t>
        </is>
      </c>
      <c r="G216" t="inlineStr">
        <is>
          <t>HYLTE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46256</v>
      </c>
      <c r="F217" t="inlineStr">
        <is>
          <t>HALLANDS LÄN</t>
        </is>
      </c>
      <c r="G217" t="inlineStr">
        <is>
          <t>HYLTE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46256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46256</v>
      </c>
      <c r="F219" t="inlineStr">
        <is>
          <t>HALLANDS LÄN</t>
        </is>
      </c>
      <c r="G219" t="inlineStr">
        <is>
          <t>HYLTE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46256</v>
      </c>
      <c r="F220" t="inlineStr">
        <is>
          <t>HALLANDS LÄN</t>
        </is>
      </c>
      <c r="G220" t="inlineStr">
        <is>
          <t>HYLTE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46256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46256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46256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45254</v>
      </c>
      <c r="E224" s="1" t="n">
        <v>46256</v>
      </c>
      <c r="F224" t="inlineStr">
        <is>
          <t>HALLANDS LÄN</t>
        </is>
      </c>
      <c r="G224" t="inlineStr">
        <is>
          <t>HYLTE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46256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46256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46256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46256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46256</v>
      </c>
      <c r="F229" t="inlineStr">
        <is>
          <t>HALLANDS LÄN</t>
        </is>
      </c>
      <c r="G229" t="inlineStr">
        <is>
          <t>HYLTE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46256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44750</v>
      </c>
      <c r="E231" s="1" t="n">
        <v>46256</v>
      </c>
      <c r="F231" t="inlineStr">
        <is>
          <t>HALLANDS LÄN</t>
        </is>
      </c>
      <c r="G231" t="inlineStr">
        <is>
          <t>HYLTE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46256</v>
      </c>
      <c r="F232" t="inlineStr">
        <is>
          <t>HALLANDS LÄN</t>
        </is>
      </c>
      <c r="G232" t="inlineStr">
        <is>
          <t>HYLTE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44714</v>
      </c>
      <c r="E233" s="1" t="n">
        <v>46256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46256</v>
      </c>
      <c r="F234" t="inlineStr">
        <is>
          <t>HALLANDS LÄN</t>
        </is>
      </c>
      <c r="G234" t="inlineStr">
        <is>
          <t>HYLTE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46256</v>
      </c>
      <c r="F235" t="inlineStr">
        <is>
          <t>HALLANDS LÄN</t>
        </is>
      </c>
      <c r="G235" t="inlineStr">
        <is>
          <t>HYLTE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46256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46256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46256</v>
      </c>
      <c r="F238" t="inlineStr">
        <is>
          <t>HALLANDS LÄN</t>
        </is>
      </c>
      <c r="G238" t="inlineStr">
        <is>
          <t>HYLTE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46256</v>
      </c>
      <c r="F239" t="inlineStr">
        <is>
          <t>HALLANDS LÄN</t>
        </is>
      </c>
      <c r="G239" t="inlineStr">
        <is>
          <t>HYLTE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45836</v>
      </c>
      <c r="E240" s="1" t="n">
        <v>46256</v>
      </c>
      <c r="F240" t="inlineStr">
        <is>
          <t>HALLANDS LÄN</t>
        </is>
      </c>
      <c r="G240" t="inlineStr">
        <is>
          <t>HYLTE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44719</v>
      </c>
      <c r="E241" s="1" t="n">
        <v>46256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46256</v>
      </c>
      <c r="F242" t="inlineStr">
        <is>
          <t>HALLANDS LÄN</t>
        </is>
      </c>
      <c r="G242" t="inlineStr">
        <is>
          <t>HYLTE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33233-2025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45840</v>
      </c>
      <c r="E243" s="1" t="n">
        <v>46256</v>
      </c>
      <c r="F243" t="inlineStr">
        <is>
          <t>HALLANDS LÄN</t>
        </is>
      </c>
      <c r="G243" t="inlineStr">
        <is>
          <t>HYLTE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46256</v>
      </c>
      <c r="F244" t="inlineStr">
        <is>
          <t>HALLANDS LÄN</t>
        </is>
      </c>
      <c r="G244" t="inlineStr">
        <is>
          <t>HYLTE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46256</v>
      </c>
      <c r="F245" t="inlineStr">
        <is>
          <t>HALLANDS LÄN</t>
        </is>
      </c>
      <c r="G245" t="inlineStr">
        <is>
          <t>HYLTE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46256</v>
      </c>
      <c r="F246" t="inlineStr">
        <is>
          <t>HALLANDS LÄN</t>
        </is>
      </c>
      <c r="G246" t="inlineStr">
        <is>
          <t>HYLTE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33240-2025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45840</v>
      </c>
      <c r="E247" s="1" t="n">
        <v>46256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46256</v>
      </c>
      <c r="F248" t="inlineStr">
        <is>
          <t>HALLANDS LÄN</t>
        </is>
      </c>
      <c r="G248" t="inlineStr">
        <is>
          <t>HYLTE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46256</v>
      </c>
      <c r="F249" t="inlineStr">
        <is>
          <t>HALLANDS LÄN</t>
        </is>
      </c>
      <c r="G249" t="inlineStr">
        <is>
          <t>HYLTE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46256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46256</v>
      </c>
      <c r="F251" t="inlineStr">
        <is>
          <t>HALLANDS LÄN</t>
        </is>
      </c>
      <c r="G251" t="inlineStr">
        <is>
          <t>HYLTE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45434</v>
      </c>
      <c r="E252" s="1" t="n">
        <v>46256</v>
      </c>
      <c r="F252" t="inlineStr">
        <is>
          <t>HALLANDS LÄN</t>
        </is>
      </c>
      <c r="G252" t="inlineStr">
        <is>
          <t>HYLTE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46256</v>
      </c>
      <c r="F253" t="inlineStr">
        <is>
          <t>HALLANDS LÄN</t>
        </is>
      </c>
      <c r="G253" t="inlineStr">
        <is>
          <t>HYLTE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46256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46256</v>
      </c>
      <c r="F255" t="inlineStr">
        <is>
          <t>HALLANDS LÄN</t>
        </is>
      </c>
      <c r="G255" t="inlineStr">
        <is>
          <t>HYLTE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46256</v>
      </c>
      <c r="F256" t="inlineStr">
        <is>
          <t>HALLANDS LÄN</t>
        </is>
      </c>
      <c r="G256" t="inlineStr">
        <is>
          <t>HYLTE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46256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46256</v>
      </c>
      <c r="F258" t="inlineStr">
        <is>
          <t>HALLANDS LÄN</t>
        </is>
      </c>
      <c r="G258" t="inlineStr">
        <is>
          <t>HYLTE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25167-2025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45800</v>
      </c>
      <c r="E259" s="1" t="n">
        <v>46256</v>
      </c>
      <c r="F259" t="inlineStr">
        <is>
          <t>HALLANDS LÄN</t>
        </is>
      </c>
      <c r="G259" t="inlineStr">
        <is>
          <t>HYLTE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46256</v>
      </c>
      <c r="F260" t="inlineStr">
        <is>
          <t>HALLANDS LÄN</t>
        </is>
      </c>
      <c r="G260" t="inlineStr">
        <is>
          <t>HYLTE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46256</v>
      </c>
      <c r="F261" t="inlineStr">
        <is>
          <t>HALLANDS LÄN</t>
        </is>
      </c>
      <c r="G261" t="inlineStr">
        <is>
          <t>HYLTE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45382</v>
      </c>
      <c r="E262" s="1" t="n">
        <v>46256</v>
      </c>
      <c r="F262" t="inlineStr">
        <is>
          <t>HALLANDS LÄN</t>
        </is>
      </c>
      <c r="G262" t="inlineStr">
        <is>
          <t>HYLTE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46256</v>
      </c>
      <c r="F263" t="inlineStr">
        <is>
          <t>HALLANDS LÄN</t>
        </is>
      </c>
      <c r="G263" t="inlineStr">
        <is>
          <t>HYLTE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46256</v>
      </c>
      <c r="F264" t="inlineStr">
        <is>
          <t>HALLANDS LÄN</t>
        </is>
      </c>
      <c r="G264" t="inlineStr">
        <is>
          <t>HYLTE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46256</v>
      </c>
      <c r="F265" t="inlineStr">
        <is>
          <t>HALLANDS LÄN</t>
        </is>
      </c>
      <c r="G265" t="inlineStr">
        <is>
          <t>HYLTE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45847</v>
      </c>
      <c r="E266" s="1" t="n">
        <v>46256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46256</v>
      </c>
      <c r="F267" t="inlineStr">
        <is>
          <t>HALLANDS LÄN</t>
        </is>
      </c>
      <c r="G267" t="inlineStr">
        <is>
          <t>HYLTE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46256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46256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46256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46256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46256</v>
      </c>
      <c r="F272" t="inlineStr">
        <is>
          <t>HALLANDS LÄN</t>
        </is>
      </c>
      <c r="G272" t="inlineStr">
        <is>
          <t>HYLTE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46256</v>
      </c>
      <c r="F273" t="inlineStr">
        <is>
          <t>HALLANDS LÄN</t>
        </is>
      </c>
      <c r="G273" t="inlineStr">
        <is>
          <t>HYLTE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46256</v>
      </c>
      <c r="F274" t="inlineStr">
        <is>
          <t>HALLANDS LÄN</t>
        </is>
      </c>
      <c r="G274" t="inlineStr">
        <is>
          <t>HYLTE</t>
        </is>
      </c>
      <c r="I274" t="n">
        <v>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46256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46256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46256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45558</v>
      </c>
      <c r="E278" s="1" t="n">
        <v>46256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46256</v>
      </c>
      <c r="F279" t="inlineStr">
        <is>
          <t>HALLANDS LÄN</t>
        </is>
      </c>
      <c r="G279" t="inlineStr">
        <is>
          <t>HYLTE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46256</v>
      </c>
      <c r="F280" t="inlineStr">
        <is>
          <t>HALLANDS LÄN</t>
        </is>
      </c>
      <c r="G280" t="inlineStr">
        <is>
          <t>HYLTE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46256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44697</v>
      </c>
      <c r="E282" s="1" t="n">
        <v>46256</v>
      </c>
      <c r="F282" t="inlineStr">
        <is>
          <t>HALLANDS LÄN</t>
        </is>
      </c>
      <c r="G282" t="inlineStr">
        <is>
          <t>HYLTE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46256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46256</v>
      </c>
      <c r="F284" t="inlineStr">
        <is>
          <t>HALLANDS LÄN</t>
        </is>
      </c>
      <c r="G284" t="inlineStr">
        <is>
          <t>HYLTE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46256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46256</v>
      </c>
      <c r="F286" t="inlineStr">
        <is>
          <t>HALLANDS LÄN</t>
        </is>
      </c>
      <c r="G286" t="inlineStr">
        <is>
          <t>HYLTE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45580</v>
      </c>
      <c r="E287" s="1" t="n">
        <v>46256</v>
      </c>
      <c r="F287" t="inlineStr">
        <is>
          <t>HALLANDS LÄN</t>
        </is>
      </c>
      <c r="G287" t="inlineStr">
        <is>
          <t>HYLTE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44482</v>
      </c>
      <c r="E288" s="1" t="n">
        <v>46256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20796-2022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44701</v>
      </c>
      <c r="E289" s="1" t="n">
        <v>46256</v>
      </c>
      <c r="F289" t="inlineStr">
        <is>
          <t>HALLANDS LÄN</t>
        </is>
      </c>
      <c r="G289" t="inlineStr">
        <is>
          <t>HYLTE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46256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46256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46256</v>
      </c>
      <c r="F292" t="inlineStr">
        <is>
          <t>HALLANDS LÄN</t>
        </is>
      </c>
      <c r="G292" t="inlineStr">
        <is>
          <t>HYLTE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46256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46256</v>
      </c>
      <c r="F294" t="inlineStr">
        <is>
          <t>HALLANDS LÄN</t>
        </is>
      </c>
      <c r="G294" t="inlineStr">
        <is>
          <t>HYLTE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46256</v>
      </c>
      <c r="F295" t="inlineStr">
        <is>
          <t>HALLANDS LÄN</t>
        </is>
      </c>
      <c r="G295" t="inlineStr">
        <is>
          <t>HYLTE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44635</v>
      </c>
      <c r="E296" s="1" t="n">
        <v>46256</v>
      </c>
      <c r="F296" t="inlineStr">
        <is>
          <t>HALLANDS LÄN</t>
        </is>
      </c>
      <c r="G296" t="inlineStr">
        <is>
          <t>HYLTE</t>
        </is>
      </c>
      <c r="H296" t="inlineStr">
        <is>
          <t>Bergvik skog väst AB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46256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58221-2022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44901</v>
      </c>
      <c r="E298" s="1" t="n">
        <v>46256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46256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45042</v>
      </c>
      <c r="E300" s="1" t="n">
        <v>46256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60211-2021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44495</v>
      </c>
      <c r="E301" s="1" t="n">
        <v>46256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46256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46256</v>
      </c>
      <c r="F303" t="inlineStr">
        <is>
          <t>HALLANDS LÄN</t>
        </is>
      </c>
      <c r="G303" t="inlineStr">
        <is>
          <t>HYLTE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45352</v>
      </c>
      <c r="E304" s="1" t="n">
        <v>46256</v>
      </c>
      <c r="F304" t="inlineStr">
        <is>
          <t>HALLANDS LÄN</t>
        </is>
      </c>
      <c r="G304" t="inlineStr">
        <is>
          <t>HYLTE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46256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46256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46256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46256</v>
      </c>
      <c r="F308" t="inlineStr">
        <is>
          <t>HALLANDS LÄN</t>
        </is>
      </c>
      <c r="G308" t="inlineStr">
        <is>
          <t>HYLTE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46256</v>
      </c>
      <c r="F309" t="inlineStr">
        <is>
          <t>HALLANDS LÄN</t>
        </is>
      </c>
      <c r="G309" t="inlineStr">
        <is>
          <t>HYLTE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45441</v>
      </c>
      <c r="E310" s="1" t="n">
        <v>46256</v>
      </c>
      <c r="F310" t="inlineStr">
        <is>
          <t>HALLANDS LÄN</t>
        </is>
      </c>
      <c r="G310" t="inlineStr">
        <is>
          <t>HYLTE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46256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64221-2021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44510</v>
      </c>
      <c r="E312" s="1" t="n">
        <v>46256</v>
      </c>
      <c r="F312" t="inlineStr">
        <is>
          <t>HALLANDS LÄN</t>
        </is>
      </c>
      <c r="G312" t="inlineStr">
        <is>
          <t>HYLTE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45310</v>
      </c>
      <c r="E313" s="1" t="n">
        <v>46256</v>
      </c>
      <c r="F313" t="inlineStr">
        <is>
          <t>HALLANDS LÄN</t>
        </is>
      </c>
      <c r="G313" t="inlineStr">
        <is>
          <t>HYLTE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45229</v>
      </c>
      <c r="E314" s="1" t="n">
        <v>46256</v>
      </c>
      <c r="F314" t="inlineStr">
        <is>
          <t>HALLANDS LÄN</t>
        </is>
      </c>
      <c r="G314" t="inlineStr">
        <is>
          <t>HYLTE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45624</v>
      </c>
      <c r="E315" s="1" t="n">
        <v>46256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46256</v>
      </c>
      <c r="F316" t="inlineStr">
        <is>
          <t>HALLANDS LÄN</t>
        </is>
      </c>
      <c r="G316" t="inlineStr">
        <is>
          <t>HYLTE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46256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46256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44477</v>
      </c>
      <c r="E319" s="1" t="n">
        <v>46256</v>
      </c>
      <c r="F319" t="inlineStr">
        <is>
          <t>HALLANDS LÄN</t>
        </is>
      </c>
      <c r="G319" t="inlineStr">
        <is>
          <t>HYLTE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46256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45538</v>
      </c>
      <c r="E321" s="1" t="n">
        <v>46256</v>
      </c>
      <c r="F321" t="inlineStr">
        <is>
          <t>HALLANDS LÄN</t>
        </is>
      </c>
      <c r="G321" t="inlineStr">
        <is>
          <t>HYLTE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46256</v>
      </c>
      <c r="F322" t="inlineStr">
        <is>
          <t>HALLANDS LÄN</t>
        </is>
      </c>
      <c r="G322" t="inlineStr">
        <is>
          <t>HYLTE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46256</v>
      </c>
      <c r="F323" t="inlineStr">
        <is>
          <t>HALLANDS LÄN</t>
        </is>
      </c>
      <c r="G323" t="inlineStr">
        <is>
          <t>HYLTE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44999</v>
      </c>
      <c r="E324" s="1" t="n">
        <v>46256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45351</v>
      </c>
      <c r="E325" s="1" t="n">
        <v>46256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46256</v>
      </c>
      <c r="F326" t="inlineStr">
        <is>
          <t>HALLANDS LÄN</t>
        </is>
      </c>
      <c r="G326" t="inlineStr">
        <is>
          <t>HYLTE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58841-2021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44489</v>
      </c>
      <c r="E327" s="1" t="n">
        <v>46256</v>
      </c>
      <c r="F327" t="inlineStr">
        <is>
          <t>HALLANDS LÄN</t>
        </is>
      </c>
      <c r="G327" t="inlineStr">
        <is>
          <t>HYLTE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46256</v>
      </c>
      <c r="F328" t="inlineStr">
        <is>
          <t>HALLANDS LÄN</t>
        </is>
      </c>
      <c r="G328" t="inlineStr">
        <is>
          <t>HYLTE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46256</v>
      </c>
      <c r="F329" t="inlineStr">
        <is>
          <t>HALLANDS LÄN</t>
        </is>
      </c>
      <c r="G329" t="inlineStr">
        <is>
          <t>HYLTE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46692-2023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45198</v>
      </c>
      <c r="E330" s="1" t="n">
        <v>46256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45752</v>
      </c>
      <c r="E331" s="1" t="n">
        <v>46256</v>
      </c>
      <c r="F331" t="inlineStr">
        <is>
          <t>HALLANDS LÄN</t>
        </is>
      </c>
      <c r="G331" t="inlineStr">
        <is>
          <t>HYLTE</t>
        </is>
      </c>
      <c r="H331" t="inlineStr">
        <is>
          <t>Kyrkan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44735</v>
      </c>
      <c r="E332" s="1" t="n">
        <v>46256</v>
      </c>
      <c r="F332" t="inlineStr">
        <is>
          <t>HALLANDS LÄN</t>
        </is>
      </c>
      <c r="G332" t="inlineStr">
        <is>
          <t>HYLTE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46256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44460</v>
      </c>
      <c r="E334" s="1" t="n">
        <v>46256</v>
      </c>
      <c r="F334" t="inlineStr">
        <is>
          <t>HALLANDS LÄN</t>
        </is>
      </c>
      <c r="G334" t="inlineStr">
        <is>
          <t>HYLTE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50814-2021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46256</v>
      </c>
      <c r="F335" t="inlineStr">
        <is>
          <t>HALLANDS LÄN</t>
        </is>
      </c>
      <c r="G335" t="inlineStr">
        <is>
          <t>HYLTE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46256</v>
      </c>
      <c r="F336" t="inlineStr">
        <is>
          <t>HALLANDS LÄN</t>
        </is>
      </c>
      <c r="G336" t="inlineStr">
        <is>
          <t>HYLTE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46256</v>
      </c>
      <c r="F337" t="inlineStr">
        <is>
          <t>HALLANDS LÄN</t>
        </is>
      </c>
      <c r="G337" t="inlineStr">
        <is>
          <t>HYLTE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46256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46256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46256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45687</v>
      </c>
      <c r="E341" s="1" t="n">
        <v>46256</v>
      </c>
      <c r="F341" t="inlineStr">
        <is>
          <t>HALLANDS LÄN</t>
        </is>
      </c>
      <c r="G341" t="inlineStr">
        <is>
          <t>HYLTE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46256</v>
      </c>
      <c r="F342" t="inlineStr">
        <is>
          <t>HALLANDS LÄN</t>
        </is>
      </c>
      <c r="G342" t="inlineStr">
        <is>
          <t>HYLTE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32050-2022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46256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46256</v>
      </c>
      <c r="F344" t="inlineStr">
        <is>
          <t>HALLANDS LÄN</t>
        </is>
      </c>
      <c r="G344" t="inlineStr">
        <is>
          <t>HYLTE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46256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46256</v>
      </c>
      <c r="F346" t="inlineStr">
        <is>
          <t>HALLANDS LÄN</t>
        </is>
      </c>
      <c r="G346" t="inlineStr">
        <is>
          <t>HYLTE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12706-2022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46256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45342</v>
      </c>
      <c r="E348" s="1" t="n">
        <v>46256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46256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45190</v>
      </c>
      <c r="E350" s="1" t="n">
        <v>46256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46256</v>
      </c>
      <c r="F351" t="inlineStr">
        <is>
          <t>HALLANDS LÄN</t>
        </is>
      </c>
      <c r="G351" t="inlineStr">
        <is>
          <t>HYLTE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45483</v>
      </c>
      <c r="E352" s="1" t="n">
        <v>46256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45293</v>
      </c>
      <c r="E353" s="1" t="n">
        <v>46256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46256</v>
      </c>
      <c r="F354" t="inlineStr">
        <is>
          <t>HALLANDS LÄN</t>
        </is>
      </c>
      <c r="G354" t="inlineStr">
        <is>
          <t>HYLTE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46256</v>
      </c>
      <c r="F355" t="inlineStr">
        <is>
          <t>HALLANDS LÄN</t>
        </is>
      </c>
      <c r="G355" t="inlineStr">
        <is>
          <t>HYLTE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45132</v>
      </c>
      <c r="E356" s="1" t="n">
        <v>46256</v>
      </c>
      <c r="F356" t="inlineStr">
        <is>
          <t>HALLANDS LÄN</t>
        </is>
      </c>
      <c r="G356" t="inlineStr">
        <is>
          <t>HYLTE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46256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46256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46256</v>
      </c>
      <c r="F359" t="inlineStr">
        <is>
          <t>HALLANDS LÄN</t>
        </is>
      </c>
      <c r="G359" t="inlineStr">
        <is>
          <t>HYLTE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45190</v>
      </c>
      <c r="E360" s="1" t="n">
        <v>46256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45517</v>
      </c>
      <c r="E361" s="1" t="n">
        <v>46256</v>
      </c>
      <c r="F361" t="inlineStr">
        <is>
          <t>HALLANDS LÄN</t>
        </is>
      </c>
      <c r="G361" t="inlineStr">
        <is>
          <t>HYLTE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46256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46256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46256</v>
      </c>
      <c r="F364" t="inlineStr">
        <is>
          <t>HALLANDS LÄN</t>
        </is>
      </c>
      <c r="G364" t="inlineStr">
        <is>
          <t>HYLTE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46256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14584-2024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45395</v>
      </c>
      <c r="E366" s="1" t="n">
        <v>46256</v>
      </c>
      <c r="F366" t="inlineStr">
        <is>
          <t>HALLANDS LÄN</t>
        </is>
      </c>
      <c r="G366" t="inlineStr">
        <is>
          <t>HYLTE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46256</v>
      </c>
      <c r="F367" t="inlineStr">
        <is>
          <t>HALLANDS LÄN</t>
        </is>
      </c>
      <c r="G367" t="inlineStr">
        <is>
          <t>HYLTE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45677</v>
      </c>
      <c r="E368" s="1" t="n">
        <v>46256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46256</v>
      </c>
      <c r="F369" t="inlineStr">
        <is>
          <t>HALLANDS LÄN</t>
        </is>
      </c>
      <c r="G369" t="inlineStr">
        <is>
          <t>HYLTE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46256</v>
      </c>
      <c r="F370" t="inlineStr">
        <is>
          <t>HALLANDS LÄN</t>
        </is>
      </c>
      <c r="G370" t="inlineStr">
        <is>
          <t>HYLTE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46256</v>
      </c>
      <c r="F371" t="inlineStr">
        <is>
          <t>HALLANDS LÄN</t>
        </is>
      </c>
      <c r="G371" t="inlineStr">
        <is>
          <t>HYLTE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45019</v>
      </c>
      <c r="E372" s="1" t="n">
        <v>46256</v>
      </c>
      <c r="F372" t="inlineStr">
        <is>
          <t>HALLANDS LÄN</t>
        </is>
      </c>
      <c r="G372" t="inlineStr">
        <is>
          <t>HYLTE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45309</v>
      </c>
      <c r="E373" s="1" t="n">
        <v>46256</v>
      </c>
      <c r="F373" t="inlineStr">
        <is>
          <t>HALLANDS LÄN</t>
        </is>
      </c>
      <c r="G373" t="inlineStr">
        <is>
          <t>HYLTE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45245</v>
      </c>
      <c r="E374" s="1" t="n">
        <v>46256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65126-2023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45288</v>
      </c>
      <c r="E375" s="1" t="n">
        <v>46256</v>
      </c>
      <c r="F375" t="inlineStr">
        <is>
          <t>HALLANDS LÄN</t>
        </is>
      </c>
      <c r="G375" t="inlineStr">
        <is>
          <t>HYLTE</t>
        </is>
      </c>
      <c r="H375" t="inlineStr">
        <is>
          <t>Kommuner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46256</v>
      </c>
      <c r="F376" t="inlineStr">
        <is>
          <t>HALLANDS LÄN</t>
        </is>
      </c>
      <c r="G376" t="inlineStr">
        <is>
          <t>HYLTE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46256</v>
      </c>
      <c r="F377" t="inlineStr">
        <is>
          <t>HALLANDS LÄN</t>
        </is>
      </c>
      <c r="G377" t="inlineStr">
        <is>
          <t>HYLTE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45407</v>
      </c>
      <c r="E378" s="1" t="n">
        <v>46256</v>
      </c>
      <c r="F378" t="inlineStr">
        <is>
          <t>HALLANDS LÄN</t>
        </is>
      </c>
      <c r="G378" t="inlineStr">
        <is>
          <t>HYLTE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46256</v>
      </c>
      <c r="F379" t="inlineStr">
        <is>
          <t>HALLANDS LÄN</t>
        </is>
      </c>
      <c r="G379" t="inlineStr">
        <is>
          <t>HYLTE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46256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45769</v>
      </c>
      <c r="E381" s="1" t="n">
        <v>46256</v>
      </c>
      <c r="F381" t="inlineStr">
        <is>
          <t>HALLANDS LÄN</t>
        </is>
      </c>
      <c r="G381" t="inlineStr">
        <is>
          <t>HYLTE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45672</v>
      </c>
      <c r="E382" s="1" t="n">
        <v>46256</v>
      </c>
      <c r="F382" t="inlineStr">
        <is>
          <t>HALLANDS LÄN</t>
        </is>
      </c>
      <c r="G382" t="inlineStr">
        <is>
          <t>HYLTE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45672</v>
      </c>
      <c r="E383" s="1" t="n">
        <v>46256</v>
      </c>
      <c r="F383" t="inlineStr">
        <is>
          <t>HALLANDS LÄN</t>
        </is>
      </c>
      <c r="G383" t="inlineStr">
        <is>
          <t>HYLTE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45524</v>
      </c>
      <c r="E384" s="1" t="n">
        <v>46256</v>
      </c>
      <c r="F384" t="inlineStr">
        <is>
          <t>HALLANDS LÄN</t>
        </is>
      </c>
      <c r="G384" t="inlineStr">
        <is>
          <t>HYLTE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63808-2021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44508</v>
      </c>
      <c r="E385" s="1" t="n">
        <v>46256</v>
      </c>
      <c r="F385" t="inlineStr">
        <is>
          <t>HALLANDS LÄN</t>
        </is>
      </c>
      <c r="G385" t="inlineStr">
        <is>
          <t>HYLTE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57211-2022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46256</v>
      </c>
      <c r="F386" t="inlineStr">
        <is>
          <t>HALLANDS LÄN</t>
        </is>
      </c>
      <c r="G386" t="inlineStr">
        <is>
          <t>HYLTE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45199</v>
      </c>
      <c r="E387" s="1" t="n">
        <v>46256</v>
      </c>
      <c r="F387" t="inlineStr">
        <is>
          <t>HALLANDS LÄN</t>
        </is>
      </c>
      <c r="G387" t="inlineStr">
        <is>
          <t>HYLTE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16412-2022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44671</v>
      </c>
      <c r="E388" s="1" t="n">
        <v>46256</v>
      </c>
      <c r="F388" t="inlineStr">
        <is>
          <t>HALLANDS LÄN</t>
        </is>
      </c>
      <c r="G388" t="inlineStr">
        <is>
          <t>HYLTE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45176</v>
      </c>
      <c r="E389" s="1" t="n">
        <v>46256</v>
      </c>
      <c r="F389" t="inlineStr">
        <is>
          <t>HALLANDS LÄN</t>
        </is>
      </c>
      <c r="G389" t="inlineStr">
        <is>
          <t>HYLTE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45199</v>
      </c>
      <c r="E390" s="1" t="n">
        <v>46256</v>
      </c>
      <c r="F390" t="inlineStr">
        <is>
          <t>HALLANDS LÄN</t>
        </is>
      </c>
      <c r="G390" t="inlineStr">
        <is>
          <t>HYLTE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45372</v>
      </c>
      <c r="E391" s="1" t="n">
        <v>46256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44712</v>
      </c>
      <c r="E392" s="1" t="n">
        <v>46256</v>
      </c>
      <c r="F392" t="inlineStr">
        <is>
          <t>HALLANDS LÄN</t>
        </is>
      </c>
      <c r="G392" t="inlineStr">
        <is>
          <t>HYLTE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45395</v>
      </c>
      <c r="E393" s="1" t="n">
        <v>46256</v>
      </c>
      <c r="F393" t="inlineStr">
        <is>
          <t>HALLANDS LÄN</t>
        </is>
      </c>
      <c r="G393" t="inlineStr">
        <is>
          <t>HYLTE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45084</v>
      </c>
      <c r="E394" s="1" t="n">
        <v>46256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46256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55116-2023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45230</v>
      </c>
      <c r="E396" s="1" t="n">
        <v>46256</v>
      </c>
      <c r="F396" t="inlineStr">
        <is>
          <t>HALLANDS LÄN</t>
        </is>
      </c>
      <c r="G396" t="inlineStr">
        <is>
          <t>HYLTE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45672</v>
      </c>
      <c r="E397" s="1" t="n">
        <v>46256</v>
      </c>
      <c r="F397" t="inlineStr">
        <is>
          <t>HALLANDS LÄN</t>
        </is>
      </c>
      <c r="G397" t="inlineStr">
        <is>
          <t>HYLTE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44701</v>
      </c>
      <c r="E398" s="1" t="n">
        <v>46256</v>
      </c>
      <c r="F398" t="inlineStr">
        <is>
          <t>HALLANDS LÄN</t>
        </is>
      </c>
      <c r="G398" t="inlineStr">
        <is>
          <t>HYLTE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46256</v>
      </c>
      <c r="F399" t="inlineStr">
        <is>
          <t>HALLANDS LÄN</t>
        </is>
      </c>
      <c r="G399" t="inlineStr">
        <is>
          <t>HYLTE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57938-2022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44900</v>
      </c>
      <c r="E400" s="1" t="n">
        <v>46256</v>
      </c>
      <c r="F400" t="inlineStr">
        <is>
          <t>HALLANDS LÄN</t>
        </is>
      </c>
      <c r="G400" t="inlineStr">
        <is>
          <t>HYLTE</t>
        </is>
      </c>
      <c r="I400" t="n">
        <v>11.6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46256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45361</v>
      </c>
      <c r="E402" s="1" t="n">
        <v>46256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46256</v>
      </c>
      <c r="F403" t="inlineStr">
        <is>
          <t>HALLANDS LÄN</t>
        </is>
      </c>
      <c r="G403" t="inlineStr">
        <is>
          <t>HYLTE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52742-2024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46256</v>
      </c>
      <c r="F404" t="inlineStr">
        <is>
          <t>HALLANDS LÄN</t>
        </is>
      </c>
      <c r="G404" t="inlineStr">
        <is>
          <t>HYLTE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45331</v>
      </c>
      <c r="E405" s="1" t="n">
        <v>46256</v>
      </c>
      <c r="F405" t="inlineStr">
        <is>
          <t>HALLANDS LÄN</t>
        </is>
      </c>
      <c r="G405" t="inlineStr">
        <is>
          <t>HYLTE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45287</v>
      </c>
      <c r="E406" s="1" t="n">
        <v>46256</v>
      </c>
      <c r="F406" t="inlineStr">
        <is>
          <t>HALLANDS LÄN</t>
        </is>
      </c>
      <c r="G406" t="inlineStr">
        <is>
          <t>HYLTE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45679</v>
      </c>
      <c r="E407" s="1" t="n">
        <v>46256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46256</v>
      </c>
      <c r="F408" t="inlineStr">
        <is>
          <t>HALLANDS LÄN</t>
        </is>
      </c>
      <c r="G408" t="inlineStr">
        <is>
          <t>HYLTE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57383-2021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44483</v>
      </c>
      <c r="E409" s="1" t="n">
        <v>46256</v>
      </c>
      <c r="F409" t="inlineStr">
        <is>
          <t>HALLANDS LÄN</t>
        </is>
      </c>
      <c r="G409" t="inlineStr">
        <is>
          <t>HYLTE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46256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46256</v>
      </c>
      <c r="F411" t="inlineStr">
        <is>
          <t>HALLANDS LÄN</t>
        </is>
      </c>
      <c r="G411" t="inlineStr">
        <is>
          <t>HYLTE</t>
        </is>
      </c>
      <c r="I411" t="n">
        <v>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46256</v>
      </c>
      <c r="F412" t="inlineStr">
        <is>
          <t>HALLANDS LÄN</t>
        </is>
      </c>
      <c r="G412" t="inlineStr">
        <is>
          <t>HYLTE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45293</v>
      </c>
      <c r="E413" s="1" t="n">
        <v>46256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57397-2021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44483</v>
      </c>
      <c r="E414" s="1" t="n">
        <v>46256</v>
      </c>
      <c r="F414" t="inlineStr">
        <is>
          <t>HALLANDS LÄN</t>
        </is>
      </c>
      <c r="G414" t="inlineStr">
        <is>
          <t>HYLTE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44476</v>
      </c>
      <c r="E415" s="1" t="n">
        <v>46256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46256</v>
      </c>
      <c r="F416" t="inlineStr">
        <is>
          <t>HALLANDS LÄN</t>
        </is>
      </c>
      <c r="G416" t="inlineStr">
        <is>
          <t>HYLTE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45572</v>
      </c>
      <c r="E417" s="1" t="n">
        <v>46256</v>
      </c>
      <c r="F417" t="inlineStr">
        <is>
          <t>HALLANDS LÄN</t>
        </is>
      </c>
      <c r="G417" t="inlineStr">
        <is>
          <t>HYLTE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16410-2022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44671</v>
      </c>
      <c r="E418" s="1" t="n">
        <v>46256</v>
      </c>
      <c r="F418" t="inlineStr">
        <is>
          <t>HALLANDS LÄN</t>
        </is>
      </c>
      <c r="G418" t="inlineStr">
        <is>
          <t>HYLTE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46256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45002</v>
      </c>
      <c r="E420" s="1" t="n">
        <v>46256</v>
      </c>
      <c r="F420" t="inlineStr">
        <is>
          <t>HALLANDS LÄN</t>
        </is>
      </c>
      <c r="G420" t="inlineStr">
        <is>
          <t>HYLTE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46256</v>
      </c>
      <c r="F421" t="inlineStr">
        <is>
          <t>HALLANDS LÄN</t>
        </is>
      </c>
      <c r="G421" t="inlineStr">
        <is>
          <t>HYLTE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46256</v>
      </c>
      <c r="F422" t="inlineStr">
        <is>
          <t>HALLANDS LÄN</t>
        </is>
      </c>
      <c r="G422" t="inlineStr">
        <is>
          <t>HYLTE</t>
        </is>
      </c>
      <c r="I422" t="n">
        <v>13.3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45589</v>
      </c>
      <c r="E423" s="1" t="n">
        <v>46256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38381-2024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45546</v>
      </c>
      <c r="E424" s="1" t="n">
        <v>46256</v>
      </c>
      <c r="F424" t="inlineStr">
        <is>
          <t>HALLANDS LÄN</t>
        </is>
      </c>
      <c r="G424" t="inlineStr">
        <is>
          <t>HYLTE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45623</v>
      </c>
      <c r="E425" s="1" t="n">
        <v>46256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45366</v>
      </c>
      <c r="E426" s="1" t="n">
        <v>46256</v>
      </c>
      <c r="F426" t="inlineStr">
        <is>
          <t>HALLANDS LÄN</t>
        </is>
      </c>
      <c r="G426" t="inlineStr">
        <is>
          <t>HYLTE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46256</v>
      </c>
      <c r="F427" t="inlineStr">
        <is>
          <t>HALLANDS LÄN</t>
        </is>
      </c>
      <c r="G427" t="inlineStr">
        <is>
          <t>HYLTE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46256</v>
      </c>
      <c r="F428" t="inlineStr">
        <is>
          <t>HALLANDS LÄN</t>
        </is>
      </c>
      <c r="G428" t="inlineStr">
        <is>
          <t>HYLTE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44817</v>
      </c>
      <c r="E429" s="1" t="n">
        <v>46256</v>
      </c>
      <c r="F429" t="inlineStr">
        <is>
          <t>HALLANDS LÄN</t>
        </is>
      </c>
      <c r="G429" t="inlineStr">
        <is>
          <t>HYLTE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45257</v>
      </c>
      <c r="E430" s="1" t="n">
        <v>46256</v>
      </c>
      <c r="F430" t="inlineStr">
        <is>
          <t>HALLANDS LÄN</t>
        </is>
      </c>
      <c r="G430" t="inlineStr">
        <is>
          <t>HYLTE</t>
        </is>
      </c>
      <c r="H430" t="inlineStr">
        <is>
          <t>Kommuner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46256</v>
      </c>
      <c r="F431" t="inlineStr">
        <is>
          <t>HALLANDS LÄN</t>
        </is>
      </c>
      <c r="G431" t="inlineStr">
        <is>
          <t>HYLTE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46256</v>
      </c>
      <c r="F432" t="inlineStr">
        <is>
          <t>HALLANDS LÄN</t>
        </is>
      </c>
      <c r="G432" t="inlineStr">
        <is>
          <t>HYLTE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46256</v>
      </c>
      <c r="F433" t="inlineStr">
        <is>
          <t>HALLANDS LÄN</t>
        </is>
      </c>
      <c r="G433" t="inlineStr">
        <is>
          <t>HYLTE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46256</v>
      </c>
      <c r="F434" t="inlineStr">
        <is>
          <t>HALLANDS LÄN</t>
        </is>
      </c>
      <c r="G434" t="inlineStr">
        <is>
          <t>HYLTE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44847</v>
      </c>
      <c r="E435" s="1" t="n">
        <v>46256</v>
      </c>
      <c r="F435" t="inlineStr">
        <is>
          <t>HALLANDS LÄN</t>
        </is>
      </c>
      <c r="G435" t="inlineStr">
        <is>
          <t>HYLTE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46256</v>
      </c>
      <c r="F436" t="inlineStr">
        <is>
          <t>HALLANDS LÄN</t>
        </is>
      </c>
      <c r="G436" t="inlineStr">
        <is>
          <t>HYLTE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46256</v>
      </c>
      <c r="F437" t="inlineStr">
        <is>
          <t>HALLANDS LÄN</t>
        </is>
      </c>
      <c r="G437" t="inlineStr">
        <is>
          <t>HYLTE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46256</v>
      </c>
      <c r="F438" t="inlineStr">
        <is>
          <t>HALLANDS LÄN</t>
        </is>
      </c>
      <c r="G438" t="inlineStr">
        <is>
          <t>HYLTE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46256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46256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46256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46256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46256</v>
      </c>
      <c r="F443" t="inlineStr">
        <is>
          <t>HALLANDS LÄN</t>
        </is>
      </c>
      <c r="G443" t="inlineStr">
        <is>
          <t>HYLTE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46256</v>
      </c>
      <c r="F444" t="inlineStr">
        <is>
          <t>HALLANDS LÄN</t>
        </is>
      </c>
      <c r="G444" t="inlineStr">
        <is>
          <t>HYLTE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46256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46256</v>
      </c>
      <c r="F446" t="inlineStr">
        <is>
          <t>HALLANDS LÄN</t>
        </is>
      </c>
      <c r="G446" t="inlineStr">
        <is>
          <t>HYLTE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46256</v>
      </c>
      <c r="F447" t="inlineStr">
        <is>
          <t>HALLANDS LÄN</t>
        </is>
      </c>
      <c r="G447" t="inlineStr">
        <is>
          <t>HYLTE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46256</v>
      </c>
      <c r="F448" t="inlineStr">
        <is>
          <t>HALLANDS LÄN</t>
        </is>
      </c>
      <c r="G448" t="inlineStr">
        <is>
          <t>HYLTE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46256</v>
      </c>
      <c r="F449" t="inlineStr">
        <is>
          <t>HALLANDS LÄN</t>
        </is>
      </c>
      <c r="G449" t="inlineStr">
        <is>
          <t>HYLTE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46256</v>
      </c>
      <c r="F450" t="inlineStr">
        <is>
          <t>HALLANDS LÄN</t>
        </is>
      </c>
      <c r="G450" t="inlineStr">
        <is>
          <t>HYLTE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46256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45876</v>
      </c>
      <c r="E452" s="1" t="n">
        <v>46256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46256</v>
      </c>
      <c r="F453" t="inlineStr">
        <is>
          <t>HALLANDS LÄN</t>
        </is>
      </c>
      <c r="G453" t="inlineStr">
        <is>
          <t>HYLTE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46256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46256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46256</v>
      </c>
      <c r="F456" t="inlineStr">
        <is>
          <t>HALLANDS LÄN</t>
        </is>
      </c>
      <c r="G456" t="inlineStr">
        <is>
          <t>HYLTE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46256</v>
      </c>
      <c r="F457" t="inlineStr">
        <is>
          <t>HALLANDS LÄN</t>
        </is>
      </c>
      <c r="G457" t="inlineStr">
        <is>
          <t>HYLTE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46256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46256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46256</v>
      </c>
      <c r="F460" t="inlineStr">
        <is>
          <t>HALLANDS LÄN</t>
        </is>
      </c>
      <c r="G460" t="inlineStr">
        <is>
          <t>HYLTE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46256</v>
      </c>
      <c r="F461" t="inlineStr">
        <is>
          <t>HALLANDS LÄN</t>
        </is>
      </c>
      <c r="G461" t="inlineStr">
        <is>
          <t>HYLTE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46256</v>
      </c>
      <c r="F462" t="inlineStr">
        <is>
          <t>HALLANDS LÄN</t>
        </is>
      </c>
      <c r="G462" t="inlineStr">
        <is>
          <t>HYLTE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46256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46256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46256</v>
      </c>
      <c r="F465" t="inlineStr">
        <is>
          <t>HALLANDS LÄN</t>
        </is>
      </c>
      <c r="G465" t="inlineStr">
        <is>
          <t>HYLTE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46256</v>
      </c>
      <c r="F466" t="inlineStr">
        <is>
          <t>HALLANDS LÄN</t>
        </is>
      </c>
      <c r="G466" t="inlineStr">
        <is>
          <t>HYLTE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46256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46256</v>
      </c>
      <c r="F468" t="inlineStr">
        <is>
          <t>HALLANDS LÄN</t>
        </is>
      </c>
      <c r="G468" t="inlineStr">
        <is>
          <t>HYLTE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46256</v>
      </c>
      <c r="F469" t="inlineStr">
        <is>
          <t>HALLANDS LÄN</t>
        </is>
      </c>
      <c r="G469" t="inlineStr">
        <is>
          <t>HYLTE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46256</v>
      </c>
      <c r="F470" t="inlineStr">
        <is>
          <t>HALLANDS LÄN</t>
        </is>
      </c>
      <c r="G470" t="inlineStr">
        <is>
          <t>HYLTE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46256</v>
      </c>
      <c r="F471" t="inlineStr">
        <is>
          <t>HALLANDS LÄN</t>
        </is>
      </c>
      <c r="G471" t="inlineStr">
        <is>
          <t>HYLTE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46256</v>
      </c>
      <c r="F472" t="inlineStr">
        <is>
          <t>HALLANDS LÄN</t>
        </is>
      </c>
      <c r="G472" t="inlineStr">
        <is>
          <t>HYLTE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45357</v>
      </c>
      <c r="E473" s="1" t="n">
        <v>46256</v>
      </c>
      <c r="F473" t="inlineStr">
        <is>
          <t>HALLANDS LÄN</t>
        </is>
      </c>
      <c r="G473" t="inlineStr">
        <is>
          <t>HYLTE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46256</v>
      </c>
      <c r="F474" t="inlineStr">
        <is>
          <t>HALLANDS LÄN</t>
        </is>
      </c>
      <c r="G474" t="inlineStr">
        <is>
          <t>HYLTE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45400</v>
      </c>
      <c r="E475" s="1" t="n">
        <v>46256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46256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46256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46256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46256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46256</v>
      </c>
      <c r="F480" t="inlineStr">
        <is>
          <t>HALLANDS LÄN</t>
        </is>
      </c>
      <c r="G480" t="inlineStr">
        <is>
          <t>HYLTE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46256</v>
      </c>
      <c r="F481" t="inlineStr">
        <is>
          <t>HALLANDS LÄN</t>
        </is>
      </c>
      <c r="G481" t="inlineStr">
        <is>
          <t>HYLTE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46256</v>
      </c>
      <c r="F482" t="inlineStr">
        <is>
          <t>HALLANDS LÄN</t>
        </is>
      </c>
      <c r="G482" t="inlineStr">
        <is>
          <t>HYLTE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46256</v>
      </c>
      <c r="F483" t="inlineStr">
        <is>
          <t>HALLANDS LÄN</t>
        </is>
      </c>
      <c r="G483" t="inlineStr">
        <is>
          <t>HYLTE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44726</v>
      </c>
      <c r="E484" s="1" t="n">
        <v>46256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45351</v>
      </c>
      <c r="E485" s="1" t="n">
        <v>46256</v>
      </c>
      <c r="F485" t="inlineStr">
        <is>
          <t>HALLANDS LÄN</t>
        </is>
      </c>
      <c r="G485" t="inlineStr">
        <is>
          <t>HYLTE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46256</v>
      </c>
      <c r="F486" t="inlineStr">
        <is>
          <t>HALLANDS LÄN</t>
        </is>
      </c>
      <c r="G486" t="inlineStr">
        <is>
          <t>HYLTE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51943-2022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44872</v>
      </c>
      <c r="E487" s="1" t="n">
        <v>46256</v>
      </c>
      <c r="F487" t="inlineStr">
        <is>
          <t>HALLANDS LÄN</t>
        </is>
      </c>
      <c r="G487" t="inlineStr">
        <is>
          <t>HYLTE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46256</v>
      </c>
      <c r="F488" t="inlineStr">
        <is>
          <t>HALLANDS LÄN</t>
        </is>
      </c>
      <c r="G488" t="inlineStr">
        <is>
          <t>HYLTE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46256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45456</v>
      </c>
      <c r="E490" s="1" t="n">
        <v>46256</v>
      </c>
      <c r="F490" t="inlineStr">
        <is>
          <t>HALLANDS LÄN</t>
        </is>
      </c>
      <c r="G490" t="inlineStr">
        <is>
          <t>HYLTE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46256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45091</v>
      </c>
      <c r="E492" s="1" t="n">
        <v>46256</v>
      </c>
      <c r="F492" t="inlineStr">
        <is>
          <t>HALLANDS LÄN</t>
        </is>
      </c>
      <c r="G492" t="inlineStr">
        <is>
          <t>HYLTE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46256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46256</v>
      </c>
      <c r="F494" t="inlineStr">
        <is>
          <t>HALLANDS LÄN</t>
        </is>
      </c>
      <c r="G494" t="inlineStr">
        <is>
          <t>HYLTE</t>
        </is>
      </c>
      <c r="I494" t="n">
        <v>17.9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46256</v>
      </c>
      <c r="F495" t="inlineStr">
        <is>
          <t>HALLANDS LÄN</t>
        </is>
      </c>
      <c r="G495" t="inlineStr">
        <is>
          <t>HYLTE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46224</v>
      </c>
      <c r="E496" s="1" t="n">
        <v>46256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45462</v>
      </c>
      <c r="E497" s="1" t="n">
        <v>46256</v>
      </c>
      <c r="F497" t="inlineStr">
        <is>
          <t>HALLANDS LÄN</t>
        </is>
      </c>
      <c r="G497" t="inlineStr">
        <is>
          <t>HYLTE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50152-2021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44456</v>
      </c>
      <c r="E498" s="1" t="n">
        <v>46256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53584-2021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44469</v>
      </c>
      <c r="E499" s="1" t="n">
        <v>46256</v>
      </c>
      <c r="F499" t="inlineStr">
        <is>
          <t>HALLANDS LÄN</t>
        </is>
      </c>
      <c r="G499" t="inlineStr">
        <is>
          <t>HYLTE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46256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46256</v>
      </c>
      <c r="F501" t="inlineStr">
        <is>
          <t>HALLANDS LÄN</t>
        </is>
      </c>
      <c r="G501" t="inlineStr">
        <is>
          <t>HYLTE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31265-2023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45114</v>
      </c>
      <c r="E502" s="1" t="n">
        <v>46256</v>
      </c>
      <c r="F502" t="inlineStr">
        <is>
          <t>HALLANDS LÄN</t>
        </is>
      </c>
      <c r="G502" t="inlineStr">
        <is>
          <t>HYLTE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46256</v>
      </c>
      <c r="F503" t="inlineStr">
        <is>
          <t>HALLANDS LÄN</t>
        </is>
      </c>
      <c r="G503" t="inlineStr">
        <is>
          <t>HYLTE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45225</v>
      </c>
      <c r="E504" s="1" t="n">
        <v>46256</v>
      </c>
      <c r="F504" t="inlineStr">
        <is>
          <t>HALLANDS LÄN</t>
        </is>
      </c>
      <c r="G504" t="inlineStr">
        <is>
          <t>HYLTE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12269-2026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46087</v>
      </c>
      <c r="E505" s="1" t="n">
        <v>46256</v>
      </c>
      <c r="F505" t="inlineStr">
        <is>
          <t>HALLANDS LÄN</t>
        </is>
      </c>
      <c r="G505" t="inlineStr">
        <is>
          <t>HYLTE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46256</v>
      </c>
      <c r="F506" t="inlineStr">
        <is>
          <t>HALLANDS LÄN</t>
        </is>
      </c>
      <c r="G506" t="inlineStr">
        <is>
          <t>HYLTE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46256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44601</v>
      </c>
      <c r="E508" s="1" t="n">
        <v>46256</v>
      </c>
      <c r="F508" t="inlineStr">
        <is>
          <t>HALLANDS LÄN</t>
        </is>
      </c>
      <c r="G508" t="inlineStr">
        <is>
          <t>HYLTE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46256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44575</v>
      </c>
      <c r="E510" s="1" t="n">
        <v>46256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45170</v>
      </c>
      <c r="E511" s="1" t="n">
        <v>46256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46256</v>
      </c>
      <c r="F512" t="inlineStr">
        <is>
          <t>HALLANDS LÄN</t>
        </is>
      </c>
      <c r="G512" t="inlineStr">
        <is>
          <t>HYLTE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45334</v>
      </c>
      <c r="E513" s="1" t="n">
        <v>46256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46256</v>
      </c>
      <c r="F514" t="inlineStr">
        <is>
          <t>HALLANDS LÄN</t>
        </is>
      </c>
      <c r="G514" t="inlineStr">
        <is>
          <t>HYLTE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45169</v>
      </c>
      <c r="E515" s="1" t="n">
        <v>46256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46256</v>
      </c>
      <c r="F516" t="inlineStr">
        <is>
          <t>HALLANDS LÄN</t>
        </is>
      </c>
      <c r="G516" t="inlineStr">
        <is>
          <t>HYLTE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44729</v>
      </c>
      <c r="E517" s="1" t="n">
        <v>46256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46256</v>
      </c>
      <c r="F518" t="inlineStr">
        <is>
          <t>HALLANDS LÄN</t>
        </is>
      </c>
      <c r="G518" t="inlineStr">
        <is>
          <t>HYLTE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46093</v>
      </c>
      <c r="E519" s="1" t="n">
        <v>46256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34899-2022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44796</v>
      </c>
      <c r="E520" s="1" t="n">
        <v>46256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44995</v>
      </c>
      <c r="E521" s="1" t="n">
        <v>46256</v>
      </c>
      <c r="F521" t="inlineStr">
        <is>
          <t>HALLANDS LÄN</t>
        </is>
      </c>
      <c r="G521" t="inlineStr">
        <is>
          <t>HYLTE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44951</v>
      </c>
      <c r="E522" s="1" t="n">
        <v>46256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46256</v>
      </c>
      <c r="F523" t="inlineStr">
        <is>
          <t>HALLANDS LÄN</t>
        </is>
      </c>
      <c r="G523" t="inlineStr">
        <is>
          <t>HYLTE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19791-2024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46256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46256</v>
      </c>
      <c r="F525" t="inlineStr">
        <is>
          <t>HALLANDS LÄN</t>
        </is>
      </c>
      <c r="G525" t="inlineStr">
        <is>
          <t>HYLTE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46256</v>
      </c>
      <c r="F526" t="inlineStr">
        <is>
          <t>HALLANDS LÄN</t>
        </is>
      </c>
      <c r="G526" t="inlineStr">
        <is>
          <t>HYLTE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68969-2021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46256</v>
      </c>
      <c r="F527" t="inlineStr">
        <is>
          <t>HALLANDS LÄN</t>
        </is>
      </c>
      <c r="G527" t="inlineStr">
        <is>
          <t>HYLTE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10364-2023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44980</v>
      </c>
      <c r="E528" s="1" t="n">
        <v>46256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46256</v>
      </c>
      <c r="F529" t="inlineStr">
        <is>
          <t>HALLANDS LÄN</t>
        </is>
      </c>
      <c r="G529" t="inlineStr">
        <is>
          <t>HYLTE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46256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46256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46256</v>
      </c>
      <c r="F532" t="inlineStr">
        <is>
          <t>HALLANDS LÄN</t>
        </is>
      </c>
      <c r="G532" t="inlineStr">
        <is>
          <t>HYLTE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46256</v>
      </c>
      <c r="F533" t="inlineStr">
        <is>
          <t>HALLANDS LÄN</t>
        </is>
      </c>
      <c r="G533" t="inlineStr">
        <is>
          <t>HYLTE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46256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46256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46256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49505-2021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44454</v>
      </c>
      <c r="E537" s="1" t="n">
        <v>46256</v>
      </c>
      <c r="F537" t="inlineStr">
        <is>
          <t>HALLANDS LÄN</t>
        </is>
      </c>
      <c r="G537" t="inlineStr">
        <is>
          <t>HYLTE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46256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45208</v>
      </c>
      <c r="E539" s="1" t="n">
        <v>46256</v>
      </c>
      <c r="F539" t="inlineStr">
        <is>
          <t>HALLANDS LÄN</t>
        </is>
      </c>
      <c r="G539" t="inlineStr">
        <is>
          <t>HYLTE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29676-2026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46256</v>
      </c>
      <c r="F540" t="inlineStr">
        <is>
          <t>HALLANDS LÄN</t>
        </is>
      </c>
      <c r="G540" t="inlineStr">
        <is>
          <t>HYLTE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46256</v>
      </c>
      <c r="F541" t="inlineStr">
        <is>
          <t>HALLANDS LÄN</t>
        </is>
      </c>
      <c r="G541" t="inlineStr">
        <is>
          <t>HYLTE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46256</v>
      </c>
      <c r="F542" t="inlineStr">
        <is>
          <t>HALLANDS LÄN</t>
        </is>
      </c>
      <c r="G542" t="inlineStr">
        <is>
          <t>HYLTE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46122</v>
      </c>
      <c r="E543" s="1" t="n">
        <v>46256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32505-2023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46256</v>
      </c>
      <c r="F544" t="inlineStr">
        <is>
          <t>HALLANDS LÄN</t>
        </is>
      </c>
      <c r="G544" t="inlineStr">
        <is>
          <t>HYLTE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46121</v>
      </c>
      <c r="E545" s="1" t="n">
        <v>46256</v>
      </c>
      <c r="F545" t="inlineStr">
        <is>
          <t>HALLANDS LÄN</t>
        </is>
      </c>
      <c r="G545" t="inlineStr">
        <is>
          <t>HYLTE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46256</v>
      </c>
      <c r="F546" t="inlineStr">
        <is>
          <t>HALLANDS LÄN</t>
        </is>
      </c>
      <c r="G546" t="inlineStr">
        <is>
          <t>HYLTE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46256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17747-2026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46256</v>
      </c>
      <c r="F548" t="inlineStr">
        <is>
          <t>HALLANDS LÄN</t>
        </is>
      </c>
      <c r="G548" t="inlineStr">
        <is>
          <t>HYLTE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46256</v>
      </c>
      <c r="F549" t="inlineStr">
        <is>
          <t>HALLANDS LÄN</t>
        </is>
      </c>
      <c r="G549" t="inlineStr">
        <is>
          <t>HYLTE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46256</v>
      </c>
      <c r="F550" t="inlineStr">
        <is>
          <t>HALLANDS LÄN</t>
        </is>
      </c>
      <c r="G550" t="inlineStr">
        <is>
          <t>HYLTE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46256</v>
      </c>
      <c r="F551" t="inlineStr">
        <is>
          <t>HALLANDS LÄN</t>
        </is>
      </c>
      <c r="G551" t="inlineStr">
        <is>
          <t>HYLTE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17722-2026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46121</v>
      </c>
      <c r="E552" s="1" t="n">
        <v>46256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17723-2026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46256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17724-2026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46256</v>
      </c>
      <c r="F554" t="inlineStr">
        <is>
          <t>HALLANDS LÄN</t>
        </is>
      </c>
      <c r="G554" t="inlineStr">
        <is>
          <t>HYLTE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46256</v>
      </c>
      <c r="F555" t="inlineStr">
        <is>
          <t>HALLANDS LÄN</t>
        </is>
      </c>
      <c r="G555" t="inlineStr">
        <is>
          <t>HYLTE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29958-2022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44756</v>
      </c>
      <c r="E556" s="1" t="n">
        <v>46256</v>
      </c>
      <c r="F556" t="inlineStr">
        <is>
          <t>HALLANDS LÄN</t>
        </is>
      </c>
      <c r="G556" t="inlineStr">
        <is>
          <t>HYLTE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13686-2024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45390</v>
      </c>
      <c r="E557" s="1" t="n">
        <v>46256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55600-2023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45238</v>
      </c>
      <c r="E558" s="1" t="n">
        <v>46256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46256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46256</v>
      </c>
      <c r="F560" t="inlineStr">
        <is>
          <t>HALLANDS LÄN</t>
        </is>
      </c>
      <c r="G560" t="inlineStr">
        <is>
          <t>HYLTE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50452-2022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46256</v>
      </c>
      <c r="F561" t="inlineStr">
        <is>
          <t>HALLANDS LÄN</t>
        </is>
      </c>
      <c r="G561" t="inlineStr">
        <is>
          <t>HYLTE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16125-2024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45406</v>
      </c>
      <c r="E562" s="1" t="n">
        <v>46256</v>
      </c>
      <c r="F562" t="inlineStr">
        <is>
          <t>HALLANDS LÄN</t>
        </is>
      </c>
      <c r="G562" t="inlineStr">
        <is>
          <t>HYLTE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45414</v>
      </c>
      <c r="E563" s="1" t="n">
        <v>46256</v>
      </c>
      <c r="F563" t="inlineStr">
        <is>
          <t>HALLANDS LÄN</t>
        </is>
      </c>
      <c r="G563" t="inlineStr">
        <is>
          <t>HYLTE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46256</v>
      </c>
      <c r="F564" t="inlineStr">
        <is>
          <t>HALLANDS LÄN</t>
        </is>
      </c>
      <c r="G564" t="inlineStr">
        <is>
          <t>HYLTE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46256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46256</v>
      </c>
      <c r="F566" t="inlineStr">
        <is>
          <t>HALLANDS LÄN</t>
        </is>
      </c>
      <c r="G566" t="inlineStr">
        <is>
          <t>HYLTE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14254-2022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46256</v>
      </c>
      <c r="F567" t="inlineStr">
        <is>
          <t>HALLANDS LÄN</t>
        </is>
      </c>
      <c r="G567" t="inlineStr">
        <is>
          <t>HYLTE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26432-2023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45092</v>
      </c>
      <c r="E568" s="1" t="n">
        <v>46256</v>
      </c>
      <c r="F568" t="inlineStr">
        <is>
          <t>HALLANDS LÄN</t>
        </is>
      </c>
      <c r="G568" t="inlineStr">
        <is>
          <t>HYLTE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46256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45839</v>
      </c>
      <c r="E570" s="1" t="n">
        <v>46256</v>
      </c>
      <c r="F570" t="inlineStr">
        <is>
          <t>HALLANDS LÄN</t>
        </is>
      </c>
      <c r="G570" t="inlineStr">
        <is>
          <t>HYLTE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46256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45524</v>
      </c>
      <c r="E572" s="1" t="n">
        <v>46256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45455</v>
      </c>
      <c r="E573" s="1" t="n">
        <v>46256</v>
      </c>
      <c r="F573" t="inlineStr">
        <is>
          <t>HALLANDS LÄN</t>
        </is>
      </c>
      <c r="G573" t="inlineStr">
        <is>
          <t>HYLTE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31168-2026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46209</v>
      </c>
      <c r="E574" s="1" t="n">
        <v>46256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45051</v>
      </c>
      <c r="E575" s="1" t="n">
        <v>46256</v>
      </c>
      <c r="F575" t="inlineStr">
        <is>
          <t>HALLANDS LÄN</t>
        </is>
      </c>
      <c r="G575" t="inlineStr">
        <is>
          <t>HYLTE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46256</v>
      </c>
      <c r="F576" t="inlineStr">
        <is>
          <t>HALLANDS LÄN</t>
        </is>
      </c>
      <c r="G576" t="inlineStr">
        <is>
          <t>HYLTE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46256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33526-2026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46256</v>
      </c>
      <c r="F578" t="inlineStr">
        <is>
          <t>HALLANDS LÄN</t>
        </is>
      </c>
      <c r="G578" t="inlineStr">
        <is>
          <t>HYLTE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33561-2026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46256</v>
      </c>
      <c r="F579" t="inlineStr">
        <is>
          <t>HALLANDS LÄN</t>
        </is>
      </c>
      <c r="G579" t="inlineStr">
        <is>
          <t>HYLTE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46256</v>
      </c>
      <c r="F580" t="inlineStr">
        <is>
          <t>HALLANDS LÄN</t>
        </is>
      </c>
      <c r="G580" t="inlineStr">
        <is>
          <t>HYLTE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31570-2026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46224</v>
      </c>
      <c r="E581" s="1" t="n">
        <v>46256</v>
      </c>
      <c r="F581" t="inlineStr">
        <is>
          <t>HALLANDS LÄN</t>
        </is>
      </c>
      <c r="G581" t="inlineStr">
        <is>
          <t>HYLTE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46256</v>
      </c>
      <c r="F582" t="inlineStr">
        <is>
          <t>HALLANDS LÄN</t>
        </is>
      </c>
      <c r="G582" t="inlineStr">
        <is>
          <t>HYLTE</t>
        </is>
      </c>
      <c r="I582" t="n">
        <v>8.4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46256</v>
      </c>
      <c r="F583" t="inlineStr">
        <is>
          <t>HALLANDS LÄN</t>
        </is>
      </c>
      <c r="G583" t="inlineStr">
        <is>
          <t>HYLTE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46256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46256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45671</v>
      </c>
      <c r="E586" s="1" t="n">
        <v>46256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11694-2026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46256</v>
      </c>
      <c r="F587" t="inlineStr">
        <is>
          <t>HALLANDS LÄN</t>
        </is>
      </c>
      <c r="G587" t="inlineStr">
        <is>
          <t>HYLTE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38602-2022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44813</v>
      </c>
      <c r="E588" s="1" t="n">
        <v>46256</v>
      </c>
      <c r="F588" t="inlineStr">
        <is>
          <t>HALLANDS LÄN</t>
        </is>
      </c>
      <c r="G588" t="inlineStr">
        <is>
          <t>HYLTE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46256</v>
      </c>
      <c r="F589" t="inlineStr">
        <is>
          <t>HALLANDS LÄN</t>
        </is>
      </c>
      <c r="G589" t="inlineStr">
        <is>
          <t>HYLTE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45162</v>
      </c>
      <c r="E590" s="1" t="n">
        <v>46256</v>
      </c>
      <c r="F590" t="inlineStr">
        <is>
          <t>HALLANDS LÄN</t>
        </is>
      </c>
      <c r="G590" t="inlineStr">
        <is>
          <t>HYLTE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59627-2023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46256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46256</v>
      </c>
      <c r="F592" t="inlineStr">
        <is>
          <t>HALLANDS LÄN</t>
        </is>
      </c>
      <c r="G592" t="inlineStr">
        <is>
          <t>HYLTE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20473-2022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46256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46256</v>
      </c>
      <c r="F594" t="inlineStr">
        <is>
          <t>HALLANDS LÄN</t>
        </is>
      </c>
      <c r="G594" t="inlineStr">
        <is>
          <t>HYLTE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46256</v>
      </c>
      <c r="F595" t="inlineStr">
        <is>
          <t>HALLANDS LÄN</t>
        </is>
      </c>
      <c r="G595" t="inlineStr">
        <is>
          <t>HYLTE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46256</v>
      </c>
      <c r="F596" t="inlineStr">
        <is>
          <t>HALLANDS LÄN</t>
        </is>
      </c>
      <c r="G596" t="inlineStr">
        <is>
          <t>HYLTE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46256</v>
      </c>
      <c r="F597" t="inlineStr">
        <is>
          <t>HALLANDS LÄN</t>
        </is>
      </c>
      <c r="G597" t="inlineStr">
        <is>
          <t>HYLTE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56580-2022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46256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32987-2025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46256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4527-2024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45327</v>
      </c>
      <c r="E600" s="1" t="n">
        <v>46256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45848</v>
      </c>
      <c r="E601" s="1" t="n">
        <v>46256</v>
      </c>
      <c r="F601" t="inlineStr">
        <is>
          <t>HALLANDS LÄN</t>
        </is>
      </c>
      <c r="G601" t="inlineStr">
        <is>
          <t>HYLTE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46256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44712</v>
      </c>
      <c r="E603" s="1" t="n">
        <v>46256</v>
      </c>
      <c r="F603" t="inlineStr">
        <is>
          <t>HALLANDS LÄN</t>
        </is>
      </c>
      <c r="G603" t="inlineStr">
        <is>
          <t>HYLTE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44834</v>
      </c>
      <c r="E604" s="1" t="n">
        <v>46256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46256</v>
      </c>
      <c r="F605" t="inlineStr">
        <is>
          <t>HALLANDS LÄN</t>
        </is>
      </c>
      <c r="G605" t="inlineStr">
        <is>
          <t>HYLTE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44967</v>
      </c>
      <c r="E606" s="1" t="n">
        <v>46256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46256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54411-2024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45617</v>
      </c>
      <c r="E608" s="1" t="n">
        <v>46256</v>
      </c>
      <c r="F608" t="inlineStr">
        <is>
          <t>HALLANDS LÄN</t>
        </is>
      </c>
      <c r="G608" t="inlineStr">
        <is>
          <t>HYLTE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45715</v>
      </c>
      <c r="E609" s="1" t="n">
        <v>46256</v>
      </c>
      <c r="F609" t="inlineStr">
        <is>
          <t>HALLANDS LÄN</t>
        </is>
      </c>
      <c r="G609" t="inlineStr">
        <is>
          <t>HYLTE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45700</v>
      </c>
      <c r="E610" s="1" t="n">
        <v>46256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45316</v>
      </c>
      <c r="E611" s="1" t="n">
        <v>46256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60452-2024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45643</v>
      </c>
      <c r="E612" s="1" t="n">
        <v>46256</v>
      </c>
      <c r="F612" t="inlineStr">
        <is>
          <t>HALLANDS LÄN</t>
        </is>
      </c>
      <c r="G612" t="inlineStr">
        <is>
          <t>HYLTE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46256</v>
      </c>
      <c r="F613" t="inlineStr">
        <is>
          <t>HALLANDS LÄN</t>
        </is>
      </c>
      <c r="G613" t="inlineStr">
        <is>
          <t>HYLTE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10508-2024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45368</v>
      </c>
      <c r="E614" s="1" t="n">
        <v>46256</v>
      </c>
      <c r="F614" t="inlineStr">
        <is>
          <t>HALLANDS LÄN</t>
        </is>
      </c>
      <c r="G614" t="inlineStr">
        <is>
          <t>HYLTE</t>
        </is>
      </c>
      <c r="H614" t="inlineStr">
        <is>
          <t>Kyrkan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45371</v>
      </c>
      <c r="E615" s="1" t="n">
        <v>46256</v>
      </c>
      <c r="F615" t="inlineStr">
        <is>
          <t>HALLANDS LÄN</t>
        </is>
      </c>
      <c r="G615" t="inlineStr">
        <is>
          <t>HYLTE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11175-2024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45371</v>
      </c>
      <c r="E616" s="1" t="n">
        <v>46256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46256</v>
      </c>
      <c r="F617" t="inlineStr">
        <is>
          <t>HALLANDS LÄN</t>
        </is>
      </c>
      <c r="G617" t="inlineStr">
        <is>
          <t>HYLTE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56422-2021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44477</v>
      </c>
      <c r="E618" s="1" t="n">
        <v>46256</v>
      </c>
      <c r="F618" t="inlineStr">
        <is>
          <t>HALLANDS LÄN</t>
        </is>
      </c>
      <c r="G618" t="inlineStr">
        <is>
          <t>HYLTE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46256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46256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22157-2026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46153</v>
      </c>
      <c r="E621" s="1" t="n">
        <v>46256</v>
      </c>
      <c r="F621" t="inlineStr">
        <is>
          <t>HALLANDS LÄN</t>
        </is>
      </c>
      <c r="G621" t="inlineStr">
        <is>
          <t>HYLTE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46256</v>
      </c>
      <c r="F622" t="inlineStr">
        <is>
          <t>HALLANDS LÄN</t>
        </is>
      </c>
      <c r="G622" t="inlineStr">
        <is>
          <t>HYLTE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22173-2026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46256</v>
      </c>
      <c r="F623" t="inlineStr">
        <is>
          <t>HALLANDS LÄN</t>
        </is>
      </c>
      <c r="G623" t="inlineStr">
        <is>
          <t>HYLTE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46256</v>
      </c>
      <c r="F624" t="inlineStr">
        <is>
          <t>HALLANDS LÄN</t>
        </is>
      </c>
      <c r="G624" t="inlineStr">
        <is>
          <t>HYLTE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22158-2026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46153</v>
      </c>
      <c r="E625" s="1" t="n">
        <v>46256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22160-2026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46256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8388-2025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45709</v>
      </c>
      <c r="E627" s="1" t="n">
        <v>46256</v>
      </c>
      <c r="F627" t="inlineStr">
        <is>
          <t>HALLANDS LÄN</t>
        </is>
      </c>
      <c r="G627" t="inlineStr">
        <is>
          <t>HYLTE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45229</v>
      </c>
      <c r="E628" s="1" t="n">
        <v>46256</v>
      </c>
      <c r="F628" t="inlineStr">
        <is>
          <t>HALLANDS LÄN</t>
        </is>
      </c>
      <c r="G628" t="inlineStr">
        <is>
          <t>HYLTE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17379-2023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45035</v>
      </c>
      <c r="E629" s="1" t="n">
        <v>46256</v>
      </c>
      <c r="F629" t="inlineStr">
        <is>
          <t>HALLANDS LÄN</t>
        </is>
      </c>
      <c r="G629" t="inlineStr">
        <is>
          <t>HYLTE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45299</v>
      </c>
      <c r="E630" s="1" t="n">
        <v>46256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45176</v>
      </c>
      <c r="E631" s="1" t="n">
        <v>46256</v>
      </c>
      <c r="F631" t="inlineStr">
        <is>
          <t>HALLANDS LÄN</t>
        </is>
      </c>
      <c r="G631" t="inlineStr">
        <is>
          <t>HYLTE</t>
        </is>
      </c>
      <c r="H631" t="inlineStr">
        <is>
          <t>Kyrkan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59595-2024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46256</v>
      </c>
      <c r="F632" t="inlineStr">
        <is>
          <t>HALLANDS LÄN</t>
        </is>
      </c>
      <c r="G632" t="inlineStr">
        <is>
          <t>HYLTE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46256</v>
      </c>
      <c r="F633" t="inlineStr">
        <is>
          <t>HALLANDS LÄN</t>
        </is>
      </c>
      <c r="G633" t="inlineStr">
        <is>
          <t>HYLTE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45588</v>
      </c>
      <c r="E634" s="1" t="n">
        <v>46256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23101-2026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46256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46256</v>
      </c>
      <c r="F636" t="inlineStr">
        <is>
          <t>HALLANDS LÄN</t>
        </is>
      </c>
      <c r="G636" t="inlineStr">
        <is>
          <t>HYLTE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46256</v>
      </c>
      <c r="F637" t="inlineStr">
        <is>
          <t>HALLANDS LÄN</t>
        </is>
      </c>
      <c r="G637" t="inlineStr">
        <is>
          <t>HYLTE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45510</v>
      </c>
      <c r="E638" s="1" t="n">
        <v>46256</v>
      </c>
      <c r="F638" t="inlineStr">
        <is>
          <t>HALLANDS LÄN</t>
        </is>
      </c>
      <c r="G638" t="inlineStr">
        <is>
          <t>HYLTE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23031-2026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46161</v>
      </c>
      <c r="E639" s="1" t="n">
        <v>46256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23104-2026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46161</v>
      </c>
      <c r="E640" s="1" t="n">
        <v>46256</v>
      </c>
      <c r="F640" t="inlineStr">
        <is>
          <t>HALLANDS LÄN</t>
        </is>
      </c>
      <c r="G640" t="inlineStr">
        <is>
          <t>HYLTE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41340-2024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46256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23099-2026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46256</v>
      </c>
      <c r="F642" t="inlineStr">
        <is>
          <t>HALLANDS LÄN</t>
        </is>
      </c>
      <c r="G642" t="inlineStr">
        <is>
          <t>HYLTE</t>
        </is>
      </c>
      <c r="H642" t="inlineStr">
        <is>
          <t>Bergvik skog väst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46256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54170-2024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46256</v>
      </c>
      <c r="F644" t="inlineStr">
        <is>
          <t>HALLANDS LÄN</t>
        </is>
      </c>
      <c r="G644" t="inlineStr">
        <is>
          <t>HYLTE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45483</v>
      </c>
      <c r="E645" s="1" t="n">
        <v>46256</v>
      </c>
      <c r="F645" t="inlineStr">
        <is>
          <t>HALLANDS LÄN</t>
        </is>
      </c>
      <c r="G645" t="inlineStr">
        <is>
          <t>HYLTE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3397-2025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45680</v>
      </c>
      <c r="E646" s="1" t="n">
        <v>46256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54230-2024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46256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45225</v>
      </c>
      <c r="E648" s="1" t="n">
        <v>46256</v>
      </c>
      <c r="F648" t="inlineStr">
        <is>
          <t>HALLANDS LÄN</t>
        </is>
      </c>
      <c r="G648" t="inlineStr">
        <is>
          <t>HYLTE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54818-2024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46256</v>
      </c>
      <c r="F649" t="inlineStr">
        <is>
          <t>HALLANDS LÄN</t>
        </is>
      </c>
      <c r="G649" t="inlineStr">
        <is>
          <t>HYLTE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11461-2025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45726</v>
      </c>
      <c r="E650" s="1" t="n">
        <v>46256</v>
      </c>
      <c r="F650" t="inlineStr">
        <is>
          <t>HALLANDS LÄN</t>
        </is>
      </c>
      <c r="G650" t="inlineStr">
        <is>
          <t>HYLTE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46256</v>
      </c>
      <c r="F651" t="inlineStr">
        <is>
          <t>HALLANDS LÄN</t>
        </is>
      </c>
      <c r="G651" t="inlineStr">
        <is>
          <t>HYLTE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47983-2024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45589</v>
      </c>
      <c r="E652" s="1" t="n">
        <v>46256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13789-2024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45391</v>
      </c>
      <c r="E653" s="1" t="n">
        <v>46256</v>
      </c>
      <c r="F653" t="inlineStr">
        <is>
          <t>HALLANDS LÄN</t>
        </is>
      </c>
      <c r="G653" t="inlineStr">
        <is>
          <t>HYLTE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45786</v>
      </c>
      <c r="E654" s="1" t="n">
        <v>46256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46256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46256</v>
      </c>
      <c r="F656" t="inlineStr">
        <is>
          <t>HALLANDS LÄN</t>
        </is>
      </c>
      <c r="G656" t="inlineStr">
        <is>
          <t>HYLTE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46256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15008-2025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46256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14486-2025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45741</v>
      </c>
      <c r="E659" s="1" t="n">
        <v>46256</v>
      </c>
      <c r="F659" t="inlineStr">
        <is>
          <t>HALLANDS LÄN</t>
        </is>
      </c>
      <c r="G659" t="inlineStr">
        <is>
          <t>HYLTE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45793</v>
      </c>
      <c r="E660" s="1" t="n">
        <v>46256</v>
      </c>
      <c r="F660" t="inlineStr">
        <is>
          <t>HALLANDS LÄN</t>
        </is>
      </c>
      <c r="G660" t="inlineStr">
        <is>
          <t>HYLTE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41345-2024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45559</v>
      </c>
      <c r="E661" s="1" t="n">
        <v>46256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45681</v>
      </c>
      <c r="E662" s="1" t="n">
        <v>46256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14992-2025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45743</v>
      </c>
      <c r="E663" s="1" t="n">
        <v>46256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46947-2022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44851</v>
      </c>
      <c r="E664" s="1" t="n">
        <v>46256</v>
      </c>
      <c r="F664" t="inlineStr">
        <is>
          <t>HALLANDS LÄN</t>
        </is>
      </c>
      <c r="G664" t="inlineStr">
        <is>
          <t>HYLTE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46256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46256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46256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46256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46256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46256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46256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46256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46256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46256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46256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46256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46256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46256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46256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46256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46256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46256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46256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46256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46256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46256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46256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46256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46256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46256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46256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46256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46256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46256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2026-08-22T01:49:52Z</dcterms:created>
  <dcterms:modified xmlns:dcterms="http://purl.org/dc/terms/" xmlns:xsi="http://www.w3.org/2001/XMLSchema-instance" xsi:type="dcterms:W3CDTF">2026-08-22T01:49:53Z</dcterms:modified>
</cp:coreProperties>
</file>