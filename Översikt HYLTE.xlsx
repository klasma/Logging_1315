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80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52117-2022</t>
        </is>
      </c>
      <c r="B2" s="1" t="n">
        <v>44873</v>
      </c>
      <c r="C2" s="1" t="n">
        <v>45983</v>
      </c>
      <c r="D2" t="inlineStr">
        <is>
          <t>HALLANDS LÄN</t>
        </is>
      </c>
      <c r="E2" t="inlineStr">
        <is>
          <t>HYLTE</t>
        </is>
      </c>
      <c r="G2" t="n">
        <v>2</v>
      </c>
      <c r="H2" t="n">
        <v>0</v>
      </c>
      <c r="I2" t="n">
        <v>2</v>
      </c>
      <c r="J2" t="n">
        <v>2</v>
      </c>
      <c r="K2" t="n">
        <v>0</v>
      </c>
      <c r="L2" t="n">
        <v>0</v>
      </c>
      <c r="M2" t="n">
        <v>0</v>
      </c>
      <c r="N2" t="n">
        <v>0</v>
      </c>
      <c r="O2" t="n">
        <v>2</v>
      </c>
      <c r="P2" t="n">
        <v>0</v>
      </c>
      <c r="Q2" t="n">
        <v>4</v>
      </c>
      <c r="R2" s="2" t="inlineStr">
        <is>
          <t>Bokkantlav
Bokvårtlav
Barkkornlav
Jättesvampmal</t>
        </is>
      </c>
      <c r="S2">
        <f>HYPERLINK("https://klasma.github.io/Logging_1315/artfynd/A 52117-2022 artfynd.xlsx", "A 52117-2022")</f>
        <v/>
      </c>
      <c r="T2">
        <f>HYPERLINK("https://klasma.github.io/Logging_1315/kartor/A 52117-2022 karta.png", "A 52117-2022")</f>
        <v/>
      </c>
      <c r="V2">
        <f>HYPERLINK("https://klasma.github.io/Logging_1315/klagomål/A 52117-2022 FSC-klagomål.docx", "A 52117-2022")</f>
        <v/>
      </c>
      <c r="W2">
        <f>HYPERLINK("https://klasma.github.io/Logging_1315/klagomålsmail/A 52117-2022 FSC-klagomål mail.docx", "A 52117-2022")</f>
        <v/>
      </c>
      <c r="X2">
        <f>HYPERLINK("https://klasma.github.io/Logging_1315/tillsyn/A 52117-2022 tillsynsbegäran.docx", "A 52117-2022")</f>
        <v/>
      </c>
      <c r="Y2">
        <f>HYPERLINK("https://klasma.github.io/Logging_1315/tillsynsmail/A 52117-2022 tillsynsbegäran mail.docx", "A 52117-2022")</f>
        <v/>
      </c>
    </row>
    <row r="3" ht="15" customHeight="1">
      <c r="A3" t="inlineStr">
        <is>
          <t>A 53674-2025</t>
        </is>
      </c>
      <c r="B3" s="1" t="n">
        <v>45960.55587962963</v>
      </c>
      <c r="C3" s="1" t="n">
        <v>45983</v>
      </c>
      <c r="D3" t="inlineStr">
        <is>
          <t>HALLANDS LÄN</t>
        </is>
      </c>
      <c r="E3" t="inlineStr">
        <is>
          <t>HYLTE</t>
        </is>
      </c>
      <c r="G3" t="n">
        <v>1.7</v>
      </c>
      <c r="H3" t="n">
        <v>0</v>
      </c>
      <c r="I3" t="n">
        <v>0</v>
      </c>
      <c r="J3" t="n">
        <v>1</v>
      </c>
      <c r="K3" t="n">
        <v>1</v>
      </c>
      <c r="L3" t="n">
        <v>1</v>
      </c>
      <c r="M3" t="n">
        <v>0</v>
      </c>
      <c r="N3" t="n">
        <v>0</v>
      </c>
      <c r="O3" t="n">
        <v>3</v>
      </c>
      <c r="P3" t="n">
        <v>2</v>
      </c>
      <c r="Q3" t="n">
        <v>3</v>
      </c>
      <c r="R3" s="2" t="inlineStr">
        <is>
          <t>Ask
Åkerrättika
Svinrot</t>
        </is>
      </c>
      <c r="S3">
        <f>HYPERLINK("https://klasma.github.io/Logging_1315/artfynd/A 53674-2025 artfynd.xlsx", "A 53674-2025")</f>
        <v/>
      </c>
      <c r="T3">
        <f>HYPERLINK("https://klasma.github.io/Logging_1315/kartor/A 53674-2025 karta.png", "A 53674-2025")</f>
        <v/>
      </c>
      <c r="V3">
        <f>HYPERLINK("https://klasma.github.io/Logging_1315/klagomål/A 53674-2025 FSC-klagomål.docx", "A 53674-2025")</f>
        <v/>
      </c>
      <c r="W3">
        <f>HYPERLINK("https://klasma.github.io/Logging_1315/klagomålsmail/A 53674-2025 FSC-klagomål mail.docx", "A 53674-2025")</f>
        <v/>
      </c>
      <c r="X3">
        <f>HYPERLINK("https://klasma.github.io/Logging_1315/tillsyn/A 53674-2025 tillsynsbegäran.docx", "A 53674-2025")</f>
        <v/>
      </c>
      <c r="Y3">
        <f>HYPERLINK("https://klasma.github.io/Logging_1315/tillsynsmail/A 53674-2025 tillsynsbegäran mail.docx", "A 53674-2025")</f>
        <v/>
      </c>
    </row>
    <row r="4" ht="15" customHeight="1">
      <c r="A4" t="inlineStr">
        <is>
          <t>A 57150-2023</t>
        </is>
      </c>
      <c r="B4" s="1" t="n">
        <v>45245</v>
      </c>
      <c r="C4" s="1" t="n">
        <v>45983</v>
      </c>
      <c r="D4" t="inlineStr">
        <is>
          <t>HALLANDS LÄN</t>
        </is>
      </c>
      <c r="E4" t="inlineStr">
        <is>
          <t>HYLTE</t>
        </is>
      </c>
      <c r="G4" t="n">
        <v>2.7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Duvhök
Gråkråka
Kungsfågel</t>
        </is>
      </c>
      <c r="S4">
        <f>HYPERLINK("https://klasma.github.io/Logging_1315/artfynd/A 57150-2023 artfynd.xlsx", "A 57150-2023")</f>
        <v/>
      </c>
      <c r="T4">
        <f>HYPERLINK("https://klasma.github.io/Logging_1315/kartor/A 57150-2023 karta.png", "A 57150-2023")</f>
        <v/>
      </c>
      <c r="V4">
        <f>HYPERLINK("https://klasma.github.io/Logging_1315/klagomål/A 57150-2023 FSC-klagomål.docx", "A 57150-2023")</f>
        <v/>
      </c>
      <c r="W4">
        <f>HYPERLINK("https://klasma.github.io/Logging_1315/klagomålsmail/A 57150-2023 FSC-klagomål mail.docx", "A 57150-2023")</f>
        <v/>
      </c>
      <c r="X4">
        <f>HYPERLINK("https://klasma.github.io/Logging_1315/tillsyn/A 57150-2023 tillsynsbegäran.docx", "A 57150-2023")</f>
        <v/>
      </c>
      <c r="Y4">
        <f>HYPERLINK("https://klasma.github.io/Logging_1315/tillsynsmail/A 57150-2023 tillsynsbegäran mail.docx", "A 57150-2023")</f>
        <v/>
      </c>
      <c r="Z4">
        <f>HYPERLINK("https://klasma.github.io/Logging_1315/fåglar/A 57150-2023 prioriterade fågelarter.docx", "A 57150-2023")</f>
        <v/>
      </c>
    </row>
    <row r="5" ht="15" customHeight="1">
      <c r="A5" t="inlineStr">
        <is>
          <t>A 28111-2023</t>
        </is>
      </c>
      <c r="B5" s="1" t="n">
        <v>45099</v>
      </c>
      <c r="C5" s="1" t="n">
        <v>45983</v>
      </c>
      <c r="D5" t="inlineStr">
        <is>
          <t>HALLANDS LÄN</t>
        </is>
      </c>
      <c r="E5" t="inlineStr">
        <is>
          <t>HYLTE</t>
        </is>
      </c>
      <c r="G5" t="n">
        <v>1.2</v>
      </c>
      <c r="H5" t="n">
        <v>2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2</v>
      </c>
      <c r="R5" s="2" t="inlineStr">
        <is>
          <t>Orre
Pärluggla</t>
        </is>
      </c>
      <c r="S5">
        <f>HYPERLINK("https://klasma.github.io/Logging_1315/artfynd/A 28111-2023 artfynd.xlsx", "A 28111-2023")</f>
        <v/>
      </c>
      <c r="T5">
        <f>HYPERLINK("https://klasma.github.io/Logging_1315/kartor/A 28111-2023 karta.png", "A 28111-2023")</f>
        <v/>
      </c>
      <c r="V5">
        <f>HYPERLINK("https://klasma.github.io/Logging_1315/klagomål/A 28111-2023 FSC-klagomål.docx", "A 28111-2023")</f>
        <v/>
      </c>
      <c r="W5">
        <f>HYPERLINK("https://klasma.github.io/Logging_1315/klagomålsmail/A 28111-2023 FSC-klagomål mail.docx", "A 28111-2023")</f>
        <v/>
      </c>
      <c r="X5">
        <f>HYPERLINK("https://klasma.github.io/Logging_1315/tillsyn/A 28111-2023 tillsynsbegäran.docx", "A 28111-2023")</f>
        <v/>
      </c>
      <c r="Y5">
        <f>HYPERLINK("https://klasma.github.io/Logging_1315/tillsynsmail/A 28111-2023 tillsynsbegäran mail.docx", "A 28111-2023")</f>
        <v/>
      </c>
      <c r="Z5">
        <f>HYPERLINK("https://klasma.github.io/Logging_1315/fåglar/A 28111-2023 prioriterade fågelarter.docx", "A 28111-2023")</f>
        <v/>
      </c>
    </row>
    <row r="6" ht="15" customHeight="1">
      <c r="A6" t="inlineStr">
        <is>
          <t>A 42170-2025</t>
        </is>
      </c>
      <c r="B6" s="1" t="n">
        <v>45904</v>
      </c>
      <c r="C6" s="1" t="n">
        <v>45983</v>
      </c>
      <c r="D6" t="inlineStr">
        <is>
          <t>HALLANDS LÄN</t>
        </is>
      </c>
      <c r="E6" t="inlineStr">
        <is>
          <t>HYLTE</t>
        </is>
      </c>
      <c r="G6" t="n">
        <v>0.9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Orre
Pärluggla</t>
        </is>
      </c>
      <c r="S6">
        <f>HYPERLINK("https://klasma.github.io/Logging_1315/artfynd/A 42170-2025 artfynd.xlsx", "A 42170-2025")</f>
        <v/>
      </c>
      <c r="T6">
        <f>HYPERLINK("https://klasma.github.io/Logging_1315/kartor/A 42170-2025 karta.png", "A 42170-2025")</f>
        <v/>
      </c>
      <c r="V6">
        <f>HYPERLINK("https://klasma.github.io/Logging_1315/klagomål/A 42170-2025 FSC-klagomål.docx", "A 42170-2025")</f>
        <v/>
      </c>
      <c r="W6">
        <f>HYPERLINK("https://klasma.github.io/Logging_1315/klagomålsmail/A 42170-2025 FSC-klagomål mail.docx", "A 42170-2025")</f>
        <v/>
      </c>
      <c r="X6">
        <f>HYPERLINK("https://klasma.github.io/Logging_1315/tillsyn/A 42170-2025 tillsynsbegäran.docx", "A 42170-2025")</f>
        <v/>
      </c>
      <c r="Y6">
        <f>HYPERLINK("https://klasma.github.io/Logging_1315/tillsynsmail/A 42170-2025 tillsynsbegäran mail.docx", "A 42170-2025")</f>
        <v/>
      </c>
      <c r="Z6">
        <f>HYPERLINK("https://klasma.github.io/Logging_1315/fåglar/A 42170-2025 prioriterade fågelarter.docx", "A 42170-2025")</f>
        <v/>
      </c>
    </row>
    <row r="7" ht="15" customHeight="1">
      <c r="A7" t="inlineStr">
        <is>
          <t>A 6626-2022</t>
        </is>
      </c>
      <c r="B7" s="1" t="n">
        <v>44601</v>
      </c>
      <c r="C7" s="1" t="n">
        <v>45983</v>
      </c>
      <c r="D7" t="inlineStr">
        <is>
          <t>HALLANDS LÄN</t>
        </is>
      </c>
      <c r="E7" t="inlineStr">
        <is>
          <t>HYLTE</t>
        </is>
      </c>
      <c r="G7" t="n">
        <v>6.4</v>
      </c>
      <c r="H7" t="n">
        <v>0</v>
      </c>
      <c r="I7" t="n">
        <v>0</v>
      </c>
      <c r="J7" t="n">
        <v>0</v>
      </c>
      <c r="K7" t="n">
        <v>0</v>
      </c>
      <c r="L7" t="n">
        <v>1</v>
      </c>
      <c r="M7" t="n">
        <v>0</v>
      </c>
      <c r="N7" t="n">
        <v>0</v>
      </c>
      <c r="O7" t="n">
        <v>1</v>
      </c>
      <c r="P7" t="n">
        <v>1</v>
      </c>
      <c r="Q7" t="n">
        <v>1</v>
      </c>
      <c r="R7" s="2" t="inlineStr">
        <is>
          <t>Ask</t>
        </is>
      </c>
      <c r="S7">
        <f>HYPERLINK("https://klasma.github.io/Logging_1315/artfynd/A 6626-2022 artfynd.xlsx", "A 6626-2022")</f>
        <v/>
      </c>
      <c r="T7">
        <f>HYPERLINK("https://klasma.github.io/Logging_1315/kartor/A 6626-2022 karta.png", "A 6626-2022")</f>
        <v/>
      </c>
      <c r="V7">
        <f>HYPERLINK("https://klasma.github.io/Logging_1315/klagomål/A 6626-2022 FSC-klagomål.docx", "A 6626-2022")</f>
        <v/>
      </c>
      <c r="W7">
        <f>HYPERLINK("https://klasma.github.io/Logging_1315/klagomålsmail/A 6626-2022 FSC-klagomål mail.docx", "A 6626-2022")</f>
        <v/>
      </c>
      <c r="X7">
        <f>HYPERLINK("https://klasma.github.io/Logging_1315/tillsyn/A 6626-2022 tillsynsbegäran.docx", "A 6626-2022")</f>
        <v/>
      </c>
      <c r="Y7">
        <f>HYPERLINK("https://klasma.github.io/Logging_1315/tillsynsmail/A 6626-2022 tillsynsbegäran mail.docx", "A 6626-2022")</f>
        <v/>
      </c>
    </row>
    <row r="8" ht="15" customHeight="1">
      <c r="A8" t="inlineStr">
        <is>
          <t>A 51799-2025</t>
        </is>
      </c>
      <c r="B8" s="1" t="n">
        <v>45951</v>
      </c>
      <c r="C8" s="1" t="n">
        <v>45983</v>
      </c>
      <c r="D8" t="inlineStr">
        <is>
          <t>HALLANDS LÄN</t>
        </is>
      </c>
      <c r="E8" t="inlineStr">
        <is>
          <t>HYLTE</t>
        </is>
      </c>
      <c r="G8" t="n">
        <v>2.8</v>
      </c>
      <c r="H8" t="n">
        <v>0</v>
      </c>
      <c r="I8" t="n">
        <v>0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1</v>
      </c>
      <c r="R8" s="2" t="inlineStr">
        <is>
          <t>Svinrot</t>
        </is>
      </c>
      <c r="S8">
        <f>HYPERLINK("https://klasma.github.io/Logging_1315/artfynd/A 51799-2025 artfynd.xlsx", "A 51799-2025")</f>
        <v/>
      </c>
      <c r="T8">
        <f>HYPERLINK("https://klasma.github.io/Logging_1315/kartor/A 51799-2025 karta.png", "A 51799-2025")</f>
        <v/>
      </c>
      <c r="V8">
        <f>HYPERLINK("https://klasma.github.io/Logging_1315/klagomål/A 51799-2025 FSC-klagomål.docx", "A 51799-2025")</f>
        <v/>
      </c>
      <c r="W8">
        <f>HYPERLINK("https://klasma.github.io/Logging_1315/klagomålsmail/A 51799-2025 FSC-klagomål mail.docx", "A 51799-2025")</f>
        <v/>
      </c>
      <c r="X8">
        <f>HYPERLINK("https://klasma.github.io/Logging_1315/tillsyn/A 51799-2025 tillsynsbegäran.docx", "A 51799-2025")</f>
        <v/>
      </c>
      <c r="Y8">
        <f>HYPERLINK("https://klasma.github.io/Logging_1315/tillsynsmail/A 51799-2025 tillsynsbegäran mail.docx", "A 51799-2025")</f>
        <v/>
      </c>
    </row>
    <row r="9" ht="15" customHeight="1">
      <c r="A9" t="inlineStr">
        <is>
          <t>A 51798-2025</t>
        </is>
      </c>
      <c r="B9" s="1" t="n">
        <v>45951</v>
      </c>
      <c r="C9" s="1" t="n">
        <v>45983</v>
      </c>
      <c r="D9" t="inlineStr">
        <is>
          <t>HALLANDS LÄN</t>
        </is>
      </c>
      <c r="E9" t="inlineStr">
        <is>
          <t>HYLTE</t>
        </is>
      </c>
      <c r="G9" t="n">
        <v>1.6</v>
      </c>
      <c r="H9" t="n">
        <v>1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s="2" t="inlineStr">
        <is>
          <t>Revlummer</t>
        </is>
      </c>
      <c r="S9">
        <f>HYPERLINK("https://klasma.github.io/Logging_1315/artfynd/A 51798-2025 artfynd.xlsx", "A 51798-2025")</f>
        <v/>
      </c>
      <c r="T9">
        <f>HYPERLINK("https://klasma.github.io/Logging_1315/kartor/A 51798-2025 karta.png", "A 51798-2025")</f>
        <v/>
      </c>
      <c r="V9">
        <f>HYPERLINK("https://klasma.github.io/Logging_1315/klagomål/A 51798-2025 FSC-klagomål.docx", "A 51798-2025")</f>
        <v/>
      </c>
      <c r="W9">
        <f>HYPERLINK("https://klasma.github.io/Logging_1315/klagomålsmail/A 51798-2025 FSC-klagomål mail.docx", "A 51798-2025")</f>
        <v/>
      </c>
      <c r="X9">
        <f>HYPERLINK("https://klasma.github.io/Logging_1315/tillsyn/A 51798-2025 tillsynsbegäran.docx", "A 51798-2025")</f>
        <v/>
      </c>
      <c r="Y9">
        <f>HYPERLINK("https://klasma.github.io/Logging_1315/tillsynsmail/A 51798-2025 tillsynsbegäran mail.docx", "A 51798-2025")</f>
        <v/>
      </c>
    </row>
    <row r="10" ht="15" customHeight="1">
      <c r="A10" t="inlineStr">
        <is>
          <t>A 609-2025</t>
        </is>
      </c>
      <c r="B10" s="1" t="n">
        <v>45664.60349537037</v>
      </c>
      <c r="C10" s="1" t="n">
        <v>45983</v>
      </c>
      <c r="D10" t="inlineStr">
        <is>
          <t>HALLANDS LÄN</t>
        </is>
      </c>
      <c r="E10" t="inlineStr">
        <is>
          <t>HYLTE</t>
        </is>
      </c>
      <c r="F10" t="inlineStr">
        <is>
          <t>Kyrkan</t>
        </is>
      </c>
      <c r="G10" t="n">
        <v>1.8</v>
      </c>
      <c r="H10" t="n">
        <v>1</v>
      </c>
      <c r="I10" t="n">
        <v>0</v>
      </c>
      <c r="J10" t="n">
        <v>0</v>
      </c>
      <c r="K10" t="n">
        <v>0</v>
      </c>
      <c r="L10" t="n">
        <v>1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Sommargylling</t>
        </is>
      </c>
      <c r="S10">
        <f>HYPERLINK("https://klasma.github.io/Logging_1315/artfynd/A 609-2025 artfynd.xlsx", "A 609-2025")</f>
        <v/>
      </c>
      <c r="T10">
        <f>HYPERLINK("https://klasma.github.io/Logging_1315/kartor/A 609-2025 karta.png", "A 609-2025")</f>
        <v/>
      </c>
      <c r="V10">
        <f>HYPERLINK("https://klasma.github.io/Logging_1315/klagomål/A 609-2025 FSC-klagomål.docx", "A 609-2025")</f>
        <v/>
      </c>
      <c r="W10">
        <f>HYPERLINK("https://klasma.github.io/Logging_1315/klagomålsmail/A 609-2025 FSC-klagomål mail.docx", "A 609-2025")</f>
        <v/>
      </c>
      <c r="X10">
        <f>HYPERLINK("https://klasma.github.io/Logging_1315/tillsyn/A 609-2025 tillsynsbegäran.docx", "A 609-2025")</f>
        <v/>
      </c>
      <c r="Y10">
        <f>HYPERLINK("https://klasma.github.io/Logging_1315/tillsynsmail/A 609-2025 tillsynsbegäran mail.docx", "A 609-2025")</f>
        <v/>
      </c>
      <c r="Z10">
        <f>HYPERLINK("https://klasma.github.io/Logging_1315/fåglar/A 609-2025 prioriterade fågelarter.docx", "A 609-2025")</f>
        <v/>
      </c>
    </row>
    <row r="11" ht="15" customHeight="1">
      <c r="A11" t="inlineStr">
        <is>
          <t>A 7006-2024</t>
        </is>
      </c>
      <c r="B11" s="1" t="n">
        <v>45343.54708333333</v>
      </c>
      <c r="C11" s="1" t="n">
        <v>45983</v>
      </c>
      <c r="D11" t="inlineStr">
        <is>
          <t>HALLANDS LÄN</t>
        </is>
      </c>
      <c r="E11" t="inlineStr">
        <is>
          <t>HYLTE</t>
        </is>
      </c>
      <c r="G11" t="n">
        <v>2.2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Fläcknycklar</t>
        </is>
      </c>
      <c r="S11">
        <f>HYPERLINK("https://klasma.github.io/Logging_1315/artfynd/A 7006-2024 artfynd.xlsx", "A 7006-2024")</f>
        <v/>
      </c>
      <c r="T11">
        <f>HYPERLINK("https://klasma.github.io/Logging_1315/kartor/A 7006-2024 karta.png", "A 7006-2024")</f>
        <v/>
      </c>
      <c r="V11">
        <f>HYPERLINK("https://klasma.github.io/Logging_1315/klagomål/A 7006-2024 FSC-klagomål.docx", "A 7006-2024")</f>
        <v/>
      </c>
      <c r="W11">
        <f>HYPERLINK("https://klasma.github.io/Logging_1315/klagomålsmail/A 7006-2024 FSC-klagomål mail.docx", "A 7006-2024")</f>
        <v/>
      </c>
      <c r="X11">
        <f>HYPERLINK("https://klasma.github.io/Logging_1315/tillsyn/A 7006-2024 tillsynsbegäran.docx", "A 7006-2024")</f>
        <v/>
      </c>
      <c r="Y11">
        <f>HYPERLINK("https://klasma.github.io/Logging_1315/tillsynsmail/A 7006-2024 tillsynsbegäran mail.docx", "A 7006-2024")</f>
        <v/>
      </c>
    </row>
    <row r="12" ht="15" customHeight="1">
      <c r="A12" t="inlineStr">
        <is>
          <t>A 23166-2021</t>
        </is>
      </c>
      <c r="B12" s="1" t="n">
        <v>44332.8927662037</v>
      </c>
      <c r="C12" s="1" t="n">
        <v>45983</v>
      </c>
      <c r="D12" t="inlineStr">
        <is>
          <t>HALLANDS LÄN</t>
        </is>
      </c>
      <c r="E12" t="inlineStr">
        <is>
          <t>HYLTE</t>
        </is>
      </c>
      <c r="G12" t="n">
        <v>0.3</v>
      </c>
      <c r="H12" t="n">
        <v>1</v>
      </c>
      <c r="I12" t="n">
        <v>0</v>
      </c>
      <c r="J12" t="n">
        <v>0</v>
      </c>
      <c r="K12" t="n">
        <v>1</v>
      </c>
      <c r="L12" t="n">
        <v>0</v>
      </c>
      <c r="M12" t="n">
        <v>0</v>
      </c>
      <c r="N12" t="n">
        <v>0</v>
      </c>
      <c r="O12" t="n">
        <v>1</v>
      </c>
      <c r="P12" t="n">
        <v>1</v>
      </c>
      <c r="Q12" t="n">
        <v>1</v>
      </c>
      <c r="R12" s="2" t="inlineStr">
        <is>
          <t>Knärot</t>
        </is>
      </c>
      <c r="S12">
        <f>HYPERLINK("https://klasma.github.io/Logging_1315/artfynd/A 23166-2021 artfynd.xlsx", "A 23166-2021")</f>
        <v/>
      </c>
      <c r="T12">
        <f>HYPERLINK("https://klasma.github.io/Logging_1315/kartor/A 23166-2021 karta.png", "A 23166-2021")</f>
        <v/>
      </c>
      <c r="U12">
        <f>HYPERLINK("https://klasma.github.io/Logging_1315/knärot/A 23166-2021 karta knärot.png", "A 23166-2021")</f>
        <v/>
      </c>
      <c r="V12">
        <f>HYPERLINK("https://klasma.github.io/Logging_1315/klagomål/A 23166-2021 FSC-klagomål.docx", "A 23166-2021")</f>
        <v/>
      </c>
      <c r="W12">
        <f>HYPERLINK("https://klasma.github.io/Logging_1315/klagomålsmail/A 23166-2021 FSC-klagomål mail.docx", "A 23166-2021")</f>
        <v/>
      </c>
      <c r="X12">
        <f>HYPERLINK("https://klasma.github.io/Logging_1315/tillsyn/A 23166-2021 tillsynsbegäran.docx", "A 23166-2021")</f>
        <v/>
      </c>
      <c r="Y12">
        <f>HYPERLINK("https://klasma.github.io/Logging_1315/tillsynsmail/A 23166-2021 tillsynsbegäran mail.docx", "A 23166-2021")</f>
        <v/>
      </c>
    </row>
    <row r="13" ht="15" customHeight="1">
      <c r="A13" t="inlineStr">
        <is>
          <t>A 57230-2023</t>
        </is>
      </c>
      <c r="B13" s="1" t="n">
        <v>45245</v>
      </c>
      <c r="C13" s="1" t="n">
        <v>45983</v>
      </c>
      <c r="D13" t="inlineStr">
        <is>
          <t>HALLANDS LÄN</t>
        </is>
      </c>
      <c r="E13" t="inlineStr">
        <is>
          <t>HYLTE</t>
        </is>
      </c>
      <c r="G13" t="n">
        <v>0.5</v>
      </c>
      <c r="H13" t="n">
        <v>0</v>
      </c>
      <c r="I13" t="n">
        <v>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Västlig hakmossa</t>
        </is>
      </c>
      <c r="S13">
        <f>HYPERLINK("https://klasma.github.io/Logging_1315/artfynd/A 57230-2023 artfynd.xlsx", "A 57230-2023")</f>
        <v/>
      </c>
      <c r="T13">
        <f>HYPERLINK("https://klasma.github.io/Logging_1315/kartor/A 57230-2023 karta.png", "A 57230-2023")</f>
        <v/>
      </c>
      <c r="V13">
        <f>HYPERLINK("https://klasma.github.io/Logging_1315/klagomål/A 57230-2023 FSC-klagomål.docx", "A 57230-2023")</f>
        <v/>
      </c>
      <c r="W13">
        <f>HYPERLINK("https://klasma.github.io/Logging_1315/klagomålsmail/A 57230-2023 FSC-klagomål mail.docx", "A 57230-2023")</f>
        <v/>
      </c>
      <c r="X13">
        <f>HYPERLINK("https://klasma.github.io/Logging_1315/tillsyn/A 57230-2023 tillsynsbegäran.docx", "A 57230-2023")</f>
        <v/>
      </c>
      <c r="Y13">
        <f>HYPERLINK("https://klasma.github.io/Logging_1315/tillsynsmail/A 57230-2023 tillsynsbegäran mail.docx", "A 57230-2023")</f>
        <v/>
      </c>
    </row>
    <row r="14" ht="15" customHeight="1">
      <c r="A14" t="inlineStr">
        <is>
          <t>A 11253-2021</t>
        </is>
      </c>
      <c r="B14" s="1" t="n">
        <v>44261</v>
      </c>
      <c r="C14" s="1" t="n">
        <v>45983</v>
      </c>
      <c r="D14" t="inlineStr">
        <is>
          <t>HALLANDS LÄN</t>
        </is>
      </c>
      <c r="E14" t="inlineStr">
        <is>
          <t>HYLTE</t>
        </is>
      </c>
      <c r="F14" t="inlineStr">
        <is>
          <t>Kyrkan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64944-2020</t>
        </is>
      </c>
      <c r="B15" s="1" t="n">
        <v>44172</v>
      </c>
      <c r="C15" s="1" t="n">
        <v>45983</v>
      </c>
      <c r="D15" t="inlineStr">
        <is>
          <t>HALLANDS LÄN</t>
        </is>
      </c>
      <c r="E15" t="inlineStr">
        <is>
          <t>HYLTE</t>
        </is>
      </c>
      <c r="G15" t="n">
        <v>0.7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16952-2021</t>
        </is>
      </c>
      <c r="B16" s="1" t="n">
        <v>44295</v>
      </c>
      <c r="C16" s="1" t="n">
        <v>45983</v>
      </c>
      <c r="D16" t="inlineStr">
        <is>
          <t>HALLANDS LÄN</t>
        </is>
      </c>
      <c r="E16" t="inlineStr">
        <is>
          <t>HYLTE</t>
        </is>
      </c>
      <c r="G16" t="n">
        <v>2.3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18595-2021</t>
        </is>
      </c>
      <c r="B17" s="1" t="n">
        <v>44306.61185185185</v>
      </c>
      <c r="C17" s="1" t="n">
        <v>45983</v>
      </c>
      <c r="D17" t="inlineStr">
        <is>
          <t>HALLANDS LÄN</t>
        </is>
      </c>
      <c r="E17" t="inlineStr">
        <is>
          <t>HYLTE</t>
        </is>
      </c>
      <c r="G17" t="n">
        <v>2.1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11992-2021</t>
        </is>
      </c>
      <c r="B18" s="1" t="n">
        <v>44266.43267361111</v>
      </c>
      <c r="C18" s="1" t="n">
        <v>45983</v>
      </c>
      <c r="D18" t="inlineStr">
        <is>
          <t>HALLANDS LÄN</t>
        </is>
      </c>
      <c r="E18" t="inlineStr">
        <is>
          <t>HYLTE</t>
        </is>
      </c>
      <c r="F18" t="inlineStr">
        <is>
          <t>Bergvik skog väst AB</t>
        </is>
      </c>
      <c r="G18" t="n">
        <v>3.5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3786-2021</t>
        </is>
      </c>
      <c r="B19" s="1" t="n">
        <v>44221</v>
      </c>
      <c r="C19" s="1" t="n">
        <v>45983</v>
      </c>
      <c r="D19" t="inlineStr">
        <is>
          <t>HALLANDS LÄN</t>
        </is>
      </c>
      <c r="E19" t="inlineStr">
        <is>
          <t>HYLTE</t>
        </is>
      </c>
      <c r="G19" t="n">
        <v>7.2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13607-2021</t>
        </is>
      </c>
      <c r="B20" s="1" t="n">
        <v>44274.36774305555</v>
      </c>
      <c r="C20" s="1" t="n">
        <v>45983</v>
      </c>
      <c r="D20" t="inlineStr">
        <is>
          <t>HALLANDS LÄN</t>
        </is>
      </c>
      <c r="E20" t="inlineStr">
        <is>
          <t>HYLTE</t>
        </is>
      </c>
      <c r="G20" t="n">
        <v>1.7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16515-2021</t>
        </is>
      </c>
      <c r="B21" s="1" t="n">
        <v>44293.64414351852</v>
      </c>
      <c r="C21" s="1" t="n">
        <v>45983</v>
      </c>
      <c r="D21" t="inlineStr">
        <is>
          <t>HALLANDS LÄN</t>
        </is>
      </c>
      <c r="E21" t="inlineStr">
        <is>
          <t>HYLTE</t>
        </is>
      </c>
      <c r="G21" t="n">
        <v>5.7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35327-2021</t>
        </is>
      </c>
      <c r="B22" s="1" t="n">
        <v>44384.7596412037</v>
      </c>
      <c r="C22" s="1" t="n">
        <v>45983</v>
      </c>
      <c r="D22" t="inlineStr">
        <is>
          <t>HALLANDS LÄN</t>
        </is>
      </c>
      <c r="E22" t="inlineStr">
        <is>
          <t>HYLTE</t>
        </is>
      </c>
      <c r="G22" t="n">
        <v>0.8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28498-2021</t>
        </is>
      </c>
      <c r="B23" s="1" t="n">
        <v>44356.61467592593</v>
      </c>
      <c r="C23" s="1" t="n">
        <v>45983</v>
      </c>
      <c r="D23" t="inlineStr">
        <is>
          <t>HALLANDS LÄN</t>
        </is>
      </c>
      <c r="E23" t="inlineStr">
        <is>
          <t>HYLTE</t>
        </is>
      </c>
      <c r="G23" t="n">
        <v>7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56804-2021</t>
        </is>
      </c>
      <c r="B24" s="1" t="n">
        <v>44481</v>
      </c>
      <c r="C24" s="1" t="n">
        <v>45983</v>
      </c>
      <c r="D24" t="inlineStr">
        <is>
          <t>HALLANDS LÄN</t>
        </is>
      </c>
      <c r="E24" t="inlineStr">
        <is>
          <t>HYLTE</t>
        </is>
      </c>
      <c r="G24" t="n">
        <v>0.8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37606-2022</t>
        </is>
      </c>
      <c r="B25" s="1" t="n">
        <v>44810.32085648148</v>
      </c>
      <c r="C25" s="1" t="n">
        <v>45983</v>
      </c>
      <c r="D25" t="inlineStr">
        <is>
          <t>HALLANDS LÄN</t>
        </is>
      </c>
      <c r="E25" t="inlineStr">
        <is>
          <t>HYLTE</t>
        </is>
      </c>
      <c r="G25" t="n">
        <v>0.9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64415-2020</t>
        </is>
      </c>
      <c r="B26" s="1" t="n">
        <v>44168</v>
      </c>
      <c r="C26" s="1" t="n">
        <v>45983</v>
      </c>
      <c r="D26" t="inlineStr">
        <is>
          <t>HALLANDS LÄN</t>
        </is>
      </c>
      <c r="E26" t="inlineStr">
        <is>
          <t>HYLTE</t>
        </is>
      </c>
      <c r="G26" t="n">
        <v>1.5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32501-2021</t>
        </is>
      </c>
      <c r="B27" s="1" t="n">
        <v>44373.56392361111</v>
      </c>
      <c r="C27" s="1" t="n">
        <v>45983</v>
      </c>
      <c r="D27" t="inlineStr">
        <is>
          <t>HALLANDS LÄN</t>
        </is>
      </c>
      <c r="E27" t="inlineStr">
        <is>
          <t>HYLTE</t>
        </is>
      </c>
      <c r="G27" t="n">
        <v>2.1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46101-2021</t>
        </is>
      </c>
      <c r="B28" s="1" t="n">
        <v>44442</v>
      </c>
      <c r="C28" s="1" t="n">
        <v>45983</v>
      </c>
      <c r="D28" t="inlineStr">
        <is>
          <t>HALLANDS LÄN</t>
        </is>
      </c>
      <c r="E28" t="inlineStr">
        <is>
          <t>HYLTE</t>
        </is>
      </c>
      <c r="G28" t="n">
        <v>1.1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7796-2021</t>
        </is>
      </c>
      <c r="B29" s="1" t="n">
        <v>44242</v>
      </c>
      <c r="C29" s="1" t="n">
        <v>45983</v>
      </c>
      <c r="D29" t="inlineStr">
        <is>
          <t>HALLANDS LÄN</t>
        </is>
      </c>
      <c r="E29" t="inlineStr">
        <is>
          <t>HYLTE</t>
        </is>
      </c>
      <c r="G29" t="n">
        <v>1.7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18778-2021</t>
        </is>
      </c>
      <c r="B30" s="1" t="n">
        <v>44307</v>
      </c>
      <c r="C30" s="1" t="n">
        <v>45983</v>
      </c>
      <c r="D30" t="inlineStr">
        <is>
          <t>HALLANDS LÄN</t>
        </is>
      </c>
      <c r="E30" t="inlineStr">
        <is>
          <t>HYLTE</t>
        </is>
      </c>
      <c r="G30" t="n">
        <v>5.7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10208-2021</t>
        </is>
      </c>
      <c r="B31" s="1" t="n">
        <v>44256</v>
      </c>
      <c r="C31" s="1" t="n">
        <v>45983</v>
      </c>
      <c r="D31" t="inlineStr">
        <is>
          <t>HALLANDS LÄN</t>
        </is>
      </c>
      <c r="E31" t="inlineStr">
        <is>
          <t>HYLTE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9559-2021</t>
        </is>
      </c>
      <c r="B32" s="1" t="n">
        <v>44251</v>
      </c>
      <c r="C32" s="1" t="n">
        <v>45983</v>
      </c>
      <c r="D32" t="inlineStr">
        <is>
          <t>HALLANDS LÄN</t>
        </is>
      </c>
      <c r="E32" t="inlineStr">
        <is>
          <t>HYLTE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49390-2021</t>
        </is>
      </c>
      <c r="B33" s="1" t="n">
        <v>44454</v>
      </c>
      <c r="C33" s="1" t="n">
        <v>45983</v>
      </c>
      <c r="D33" t="inlineStr">
        <is>
          <t>HALLANDS LÄN</t>
        </is>
      </c>
      <c r="E33" t="inlineStr">
        <is>
          <t>HYLTE</t>
        </is>
      </c>
      <c r="G33" t="n">
        <v>3.4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6415-2022</t>
        </is>
      </c>
      <c r="B34" s="1" t="n">
        <v>44600.80572916667</v>
      </c>
      <c r="C34" s="1" t="n">
        <v>45983</v>
      </c>
      <c r="D34" t="inlineStr">
        <is>
          <t>HALLANDS LÄN</t>
        </is>
      </c>
      <c r="E34" t="inlineStr">
        <is>
          <t>HYLTE</t>
        </is>
      </c>
      <c r="G34" t="n">
        <v>0.4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68652-2021</t>
        </is>
      </c>
      <c r="B35" s="1" t="n">
        <v>44529</v>
      </c>
      <c r="C35" s="1" t="n">
        <v>45983</v>
      </c>
      <c r="D35" t="inlineStr">
        <is>
          <t>HALLANDS LÄN</t>
        </is>
      </c>
      <c r="E35" t="inlineStr">
        <is>
          <t>HYLTE</t>
        </is>
      </c>
      <c r="G35" t="n">
        <v>4.2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74045-2021</t>
        </is>
      </c>
      <c r="B36" s="1" t="n">
        <v>44557</v>
      </c>
      <c r="C36" s="1" t="n">
        <v>45983</v>
      </c>
      <c r="D36" t="inlineStr">
        <is>
          <t>HALLANDS LÄN</t>
        </is>
      </c>
      <c r="E36" t="inlineStr">
        <is>
          <t>HYLTE</t>
        </is>
      </c>
      <c r="G36" t="n">
        <v>5.1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38476-2021</t>
        </is>
      </c>
      <c r="B37" s="1" t="n">
        <v>44407</v>
      </c>
      <c r="C37" s="1" t="n">
        <v>45983</v>
      </c>
      <c r="D37" t="inlineStr">
        <is>
          <t>HALLANDS LÄN</t>
        </is>
      </c>
      <c r="E37" t="inlineStr">
        <is>
          <t>HYLTE</t>
        </is>
      </c>
      <c r="G37" t="n">
        <v>2.1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2864-2021</t>
        </is>
      </c>
      <c r="B38" s="1" t="n">
        <v>44216</v>
      </c>
      <c r="C38" s="1" t="n">
        <v>45983</v>
      </c>
      <c r="D38" t="inlineStr">
        <is>
          <t>HALLANDS LÄN</t>
        </is>
      </c>
      <c r="E38" t="inlineStr">
        <is>
          <t>HYLTE</t>
        </is>
      </c>
      <c r="G38" t="n">
        <v>0.5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45-2021</t>
        </is>
      </c>
      <c r="B39" s="1" t="n">
        <v>44199</v>
      </c>
      <c r="C39" s="1" t="n">
        <v>45983</v>
      </c>
      <c r="D39" t="inlineStr">
        <is>
          <t>HALLANDS LÄN</t>
        </is>
      </c>
      <c r="E39" t="inlineStr">
        <is>
          <t>HYLTE</t>
        </is>
      </c>
      <c r="G39" t="n">
        <v>2.1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57437-2021</t>
        </is>
      </c>
      <c r="B40" s="1" t="n">
        <v>44483.62717592593</v>
      </c>
      <c r="C40" s="1" t="n">
        <v>45983</v>
      </c>
      <c r="D40" t="inlineStr">
        <is>
          <t>HALLANDS LÄN</t>
        </is>
      </c>
      <c r="E40" t="inlineStr">
        <is>
          <t>HYLTE</t>
        </is>
      </c>
      <c r="G40" t="n">
        <v>2.2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21306-2022</t>
        </is>
      </c>
      <c r="B41" s="1" t="n">
        <v>44705.55137731481</v>
      </c>
      <c r="C41" s="1" t="n">
        <v>45983</v>
      </c>
      <c r="D41" t="inlineStr">
        <is>
          <t>HALLANDS LÄN</t>
        </is>
      </c>
      <c r="E41" t="inlineStr">
        <is>
          <t>HYLTE</t>
        </is>
      </c>
      <c r="G41" t="n">
        <v>0.9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32931-2021</t>
        </is>
      </c>
      <c r="B42" s="1" t="n">
        <v>44375</v>
      </c>
      <c r="C42" s="1" t="n">
        <v>45983</v>
      </c>
      <c r="D42" t="inlineStr">
        <is>
          <t>HALLANDS LÄN</t>
        </is>
      </c>
      <c r="E42" t="inlineStr">
        <is>
          <t>HYLTE</t>
        </is>
      </c>
      <c r="G42" t="n">
        <v>7.1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32052-2022</t>
        </is>
      </c>
      <c r="B43" s="1" t="n">
        <v>44778</v>
      </c>
      <c r="C43" s="1" t="n">
        <v>45983</v>
      </c>
      <c r="D43" t="inlineStr">
        <is>
          <t>HALLANDS LÄN</t>
        </is>
      </c>
      <c r="E43" t="inlineStr">
        <is>
          <t>HYLTE</t>
        </is>
      </c>
      <c r="G43" t="n">
        <v>1.8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58499-2021</t>
        </is>
      </c>
      <c r="B44" s="1" t="n">
        <v>44488</v>
      </c>
      <c r="C44" s="1" t="n">
        <v>45983</v>
      </c>
      <c r="D44" t="inlineStr">
        <is>
          <t>HALLANDS LÄN</t>
        </is>
      </c>
      <c r="E44" t="inlineStr">
        <is>
          <t>HYLTE</t>
        </is>
      </c>
      <c r="G44" t="n">
        <v>1.4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49521-2021</t>
        </is>
      </c>
      <c r="B45" s="1" t="n">
        <v>44455.3215625</v>
      </c>
      <c r="C45" s="1" t="n">
        <v>45983</v>
      </c>
      <c r="D45" t="inlineStr">
        <is>
          <t>HALLANDS LÄN</t>
        </is>
      </c>
      <c r="E45" t="inlineStr">
        <is>
          <t>HYLTE</t>
        </is>
      </c>
      <c r="G45" t="n">
        <v>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24020-2021</t>
        </is>
      </c>
      <c r="B46" s="1" t="n">
        <v>44336.29427083334</v>
      </c>
      <c r="C46" s="1" t="n">
        <v>45983</v>
      </c>
      <c r="D46" t="inlineStr">
        <is>
          <t>HALLANDS LÄN</t>
        </is>
      </c>
      <c r="E46" t="inlineStr">
        <is>
          <t>HYLTE</t>
        </is>
      </c>
      <c r="G46" t="n">
        <v>0.6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55261-2021</t>
        </is>
      </c>
      <c r="B47" s="1" t="n">
        <v>44475</v>
      </c>
      <c r="C47" s="1" t="n">
        <v>45983</v>
      </c>
      <c r="D47" t="inlineStr">
        <is>
          <t>HALLANDS LÄN</t>
        </is>
      </c>
      <c r="E47" t="inlineStr">
        <is>
          <t>HYLTE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11325-2021</t>
        </is>
      </c>
      <c r="B48" s="1" t="n">
        <v>44263</v>
      </c>
      <c r="C48" s="1" t="n">
        <v>45983</v>
      </c>
      <c r="D48" t="inlineStr">
        <is>
          <t>HALLANDS LÄN</t>
        </is>
      </c>
      <c r="E48" t="inlineStr">
        <is>
          <t>HYLTE</t>
        </is>
      </c>
      <c r="G48" t="n">
        <v>1.9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10635-2022</t>
        </is>
      </c>
      <c r="B49" s="1" t="n">
        <v>44624.50719907408</v>
      </c>
      <c r="C49" s="1" t="n">
        <v>45983</v>
      </c>
      <c r="D49" t="inlineStr">
        <is>
          <t>HALLANDS LÄN</t>
        </is>
      </c>
      <c r="E49" t="inlineStr">
        <is>
          <t>HYLTE</t>
        </is>
      </c>
      <c r="G49" t="n">
        <v>0.6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12637-2021</t>
        </is>
      </c>
      <c r="B50" s="1" t="n">
        <v>44267</v>
      </c>
      <c r="C50" s="1" t="n">
        <v>45983</v>
      </c>
      <c r="D50" t="inlineStr">
        <is>
          <t>HALLANDS LÄN</t>
        </is>
      </c>
      <c r="E50" t="inlineStr">
        <is>
          <t>HYLTE</t>
        </is>
      </c>
      <c r="F50" t="inlineStr">
        <is>
          <t>Bergvik skog väst AB</t>
        </is>
      </c>
      <c r="G50" t="n">
        <v>1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12640-2021</t>
        </is>
      </c>
      <c r="B51" s="1" t="n">
        <v>44267</v>
      </c>
      <c r="C51" s="1" t="n">
        <v>45983</v>
      </c>
      <c r="D51" t="inlineStr">
        <is>
          <t>HALLANDS LÄN</t>
        </is>
      </c>
      <c r="E51" t="inlineStr">
        <is>
          <t>HYLTE</t>
        </is>
      </c>
      <c r="F51" t="inlineStr">
        <is>
          <t>Bergvik skog väst AB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12643-2021</t>
        </is>
      </c>
      <c r="B52" s="1" t="n">
        <v>44267</v>
      </c>
      <c r="C52" s="1" t="n">
        <v>45983</v>
      </c>
      <c r="D52" t="inlineStr">
        <is>
          <t>HALLANDS LÄN</t>
        </is>
      </c>
      <c r="E52" t="inlineStr">
        <is>
          <t>HYLTE</t>
        </is>
      </c>
      <c r="F52" t="inlineStr">
        <is>
          <t>Bergvik skog väst AB</t>
        </is>
      </c>
      <c r="G52" t="n">
        <v>4.4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38170-2022</t>
        </is>
      </c>
      <c r="B53" s="1" t="n">
        <v>44812.38810185185</v>
      </c>
      <c r="C53" s="1" t="n">
        <v>45983</v>
      </c>
      <c r="D53" t="inlineStr">
        <is>
          <t>HALLANDS LÄN</t>
        </is>
      </c>
      <c r="E53" t="inlineStr">
        <is>
          <t>HYLTE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12550-2022</t>
        </is>
      </c>
      <c r="B54" s="1" t="n">
        <v>44638.68053240741</v>
      </c>
      <c r="C54" s="1" t="n">
        <v>45983</v>
      </c>
      <c r="D54" t="inlineStr">
        <is>
          <t>HALLANDS LÄN</t>
        </is>
      </c>
      <c r="E54" t="inlineStr">
        <is>
          <t>HYLTE</t>
        </is>
      </c>
      <c r="G54" t="n">
        <v>1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61226-2021</t>
        </is>
      </c>
      <c r="B55" s="1" t="n">
        <v>44498.52659722222</v>
      </c>
      <c r="C55" s="1" t="n">
        <v>45983</v>
      </c>
      <c r="D55" t="inlineStr">
        <is>
          <t>HALLANDS LÄN</t>
        </is>
      </c>
      <c r="E55" t="inlineStr">
        <is>
          <t>HYLTE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45453-2022</t>
        </is>
      </c>
      <c r="B56" s="1" t="n">
        <v>44845</v>
      </c>
      <c r="C56" s="1" t="n">
        <v>45983</v>
      </c>
      <c r="D56" t="inlineStr">
        <is>
          <t>HALLANDS LÄN</t>
        </is>
      </c>
      <c r="E56" t="inlineStr">
        <is>
          <t>HYLTE</t>
        </is>
      </c>
      <c r="G56" t="n">
        <v>0.5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40450-2022</t>
        </is>
      </c>
      <c r="B57" s="1" t="n">
        <v>44823.50232638889</v>
      </c>
      <c r="C57" s="1" t="n">
        <v>45983</v>
      </c>
      <c r="D57" t="inlineStr">
        <is>
          <t>HALLANDS LÄN</t>
        </is>
      </c>
      <c r="E57" t="inlineStr">
        <is>
          <t>HYLTE</t>
        </is>
      </c>
      <c r="G57" t="n">
        <v>0.6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74365-2021</t>
        </is>
      </c>
      <c r="B58" s="1" t="n">
        <v>44559.63728009259</v>
      </c>
      <c r="C58" s="1" t="n">
        <v>45983</v>
      </c>
      <c r="D58" t="inlineStr">
        <is>
          <t>HALLANDS LÄN</t>
        </is>
      </c>
      <c r="E58" t="inlineStr">
        <is>
          <t>HYLTE</t>
        </is>
      </c>
      <c r="G58" t="n">
        <v>2.1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11998-2021</t>
        </is>
      </c>
      <c r="B59" s="1" t="n">
        <v>44266.43594907408</v>
      </c>
      <c r="C59" s="1" t="n">
        <v>45983</v>
      </c>
      <c r="D59" t="inlineStr">
        <is>
          <t>HALLANDS LÄN</t>
        </is>
      </c>
      <c r="E59" t="inlineStr">
        <is>
          <t>HYLTE</t>
        </is>
      </c>
      <c r="F59" t="inlineStr">
        <is>
          <t>Bergvik skog väst AB</t>
        </is>
      </c>
      <c r="G59" t="n">
        <v>3.1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2315-2022</t>
        </is>
      </c>
      <c r="B60" s="1" t="n">
        <v>44578.78960648148</v>
      </c>
      <c r="C60" s="1" t="n">
        <v>45983</v>
      </c>
      <c r="D60" t="inlineStr">
        <is>
          <t>HALLANDS LÄN</t>
        </is>
      </c>
      <c r="E60" t="inlineStr">
        <is>
          <t>HYLTE</t>
        </is>
      </c>
      <c r="G60" t="n">
        <v>0.6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15317-2022</t>
        </is>
      </c>
      <c r="B61" s="1" t="n">
        <v>44659</v>
      </c>
      <c r="C61" s="1" t="n">
        <v>45983</v>
      </c>
      <c r="D61" t="inlineStr">
        <is>
          <t>HALLANDS LÄN</t>
        </is>
      </c>
      <c r="E61" t="inlineStr">
        <is>
          <t>HYLTE</t>
        </is>
      </c>
      <c r="F61" t="inlineStr">
        <is>
          <t>Bergvik skog väst AB</t>
        </is>
      </c>
      <c r="G61" t="n">
        <v>2.6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31170-2022</t>
        </is>
      </c>
      <c r="B62" s="1" t="n">
        <v>44770.54641203704</v>
      </c>
      <c r="C62" s="1" t="n">
        <v>45983</v>
      </c>
      <c r="D62" t="inlineStr">
        <is>
          <t>HALLANDS LÄN</t>
        </is>
      </c>
      <c r="E62" t="inlineStr">
        <is>
          <t>HYLTE</t>
        </is>
      </c>
      <c r="G62" t="n">
        <v>3.2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69303-2020</t>
        </is>
      </c>
      <c r="B63" s="1" t="n">
        <v>44193</v>
      </c>
      <c r="C63" s="1" t="n">
        <v>45983</v>
      </c>
      <c r="D63" t="inlineStr">
        <is>
          <t>HALLANDS LÄN</t>
        </is>
      </c>
      <c r="E63" t="inlineStr">
        <is>
          <t>HYLTE</t>
        </is>
      </c>
      <c r="G63" t="n">
        <v>1.8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24969-2021</t>
        </is>
      </c>
      <c r="B64" s="1" t="n">
        <v>44341.49761574074</v>
      </c>
      <c r="C64" s="1" t="n">
        <v>45983</v>
      </c>
      <c r="D64" t="inlineStr">
        <is>
          <t>HALLANDS LÄN</t>
        </is>
      </c>
      <c r="E64" t="inlineStr">
        <is>
          <t>HYLTE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11994-2021</t>
        </is>
      </c>
      <c r="B65" s="1" t="n">
        <v>44266.43403935185</v>
      </c>
      <c r="C65" s="1" t="n">
        <v>45983</v>
      </c>
      <c r="D65" t="inlineStr">
        <is>
          <t>HALLANDS LÄN</t>
        </is>
      </c>
      <c r="E65" t="inlineStr">
        <is>
          <t>HYLTE</t>
        </is>
      </c>
      <c r="F65" t="inlineStr">
        <is>
          <t>Bergvik skog väst AB</t>
        </is>
      </c>
      <c r="G65" t="n">
        <v>6.1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49500-2021</t>
        </is>
      </c>
      <c r="B66" s="1" t="n">
        <v>44454</v>
      </c>
      <c r="C66" s="1" t="n">
        <v>45983</v>
      </c>
      <c r="D66" t="inlineStr">
        <is>
          <t>HALLANDS LÄN</t>
        </is>
      </c>
      <c r="E66" t="inlineStr">
        <is>
          <t>HYLTE</t>
        </is>
      </c>
      <c r="G66" t="n">
        <v>0.8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13697-2022</t>
        </is>
      </c>
      <c r="B67" s="1" t="n">
        <v>44648.7996412037</v>
      </c>
      <c r="C67" s="1" t="n">
        <v>45983</v>
      </c>
      <c r="D67" t="inlineStr">
        <is>
          <t>HALLANDS LÄN</t>
        </is>
      </c>
      <c r="E67" t="inlineStr">
        <is>
          <t>HYLTE</t>
        </is>
      </c>
      <c r="G67" t="n">
        <v>0.4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22034-2021</t>
        </is>
      </c>
      <c r="B68" s="1" t="n">
        <v>44323.50259259259</v>
      </c>
      <c r="C68" s="1" t="n">
        <v>45983</v>
      </c>
      <c r="D68" t="inlineStr">
        <is>
          <t>HALLANDS LÄN</t>
        </is>
      </c>
      <c r="E68" t="inlineStr">
        <is>
          <t>HYLTE</t>
        </is>
      </c>
      <c r="G68" t="n">
        <v>1.7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29961-2022</t>
        </is>
      </c>
      <c r="B69" s="1" t="n">
        <v>44756</v>
      </c>
      <c r="C69" s="1" t="n">
        <v>45983</v>
      </c>
      <c r="D69" t="inlineStr">
        <is>
          <t>HALLANDS LÄN</t>
        </is>
      </c>
      <c r="E69" t="inlineStr">
        <is>
          <t>HYLTE</t>
        </is>
      </c>
      <c r="G69" t="n">
        <v>0.5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71120-2021</t>
        </is>
      </c>
      <c r="B70" s="1" t="n">
        <v>44539.37798611111</v>
      </c>
      <c r="C70" s="1" t="n">
        <v>45983</v>
      </c>
      <c r="D70" t="inlineStr">
        <is>
          <t>HALLANDS LÄN</t>
        </is>
      </c>
      <c r="E70" t="inlineStr">
        <is>
          <t>HYLTE</t>
        </is>
      </c>
      <c r="G70" t="n">
        <v>0.6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14176-2022</t>
        </is>
      </c>
      <c r="B71" s="1" t="n">
        <v>44651.54018518519</v>
      </c>
      <c r="C71" s="1" t="n">
        <v>45983</v>
      </c>
      <c r="D71" t="inlineStr">
        <is>
          <t>HALLANDS LÄN</t>
        </is>
      </c>
      <c r="E71" t="inlineStr">
        <is>
          <t>HYLTE</t>
        </is>
      </c>
      <c r="G71" t="n">
        <v>0.4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32852-2021</t>
        </is>
      </c>
      <c r="B72" s="1" t="n">
        <v>44375.65076388889</v>
      </c>
      <c r="C72" s="1" t="n">
        <v>45983</v>
      </c>
      <c r="D72" t="inlineStr">
        <is>
          <t>HALLANDS LÄN</t>
        </is>
      </c>
      <c r="E72" t="inlineStr">
        <is>
          <t>HYLTE</t>
        </is>
      </c>
      <c r="G72" t="n">
        <v>0.5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61681-2021</t>
        </is>
      </c>
      <c r="B73" s="1" t="n">
        <v>44501</v>
      </c>
      <c r="C73" s="1" t="n">
        <v>45983</v>
      </c>
      <c r="D73" t="inlineStr">
        <is>
          <t>HALLANDS LÄN</t>
        </is>
      </c>
      <c r="E73" t="inlineStr">
        <is>
          <t>HYLTE</t>
        </is>
      </c>
      <c r="G73" t="n">
        <v>1.9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32300-2021</t>
        </is>
      </c>
      <c r="B74" s="1" t="n">
        <v>44371</v>
      </c>
      <c r="C74" s="1" t="n">
        <v>45983</v>
      </c>
      <c r="D74" t="inlineStr">
        <is>
          <t>HALLANDS LÄN</t>
        </is>
      </c>
      <c r="E74" t="inlineStr">
        <is>
          <t>HYLTE</t>
        </is>
      </c>
      <c r="G74" t="n">
        <v>2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36065-2021</t>
        </is>
      </c>
      <c r="B75" s="1" t="n">
        <v>44389</v>
      </c>
      <c r="C75" s="1" t="n">
        <v>45983</v>
      </c>
      <c r="D75" t="inlineStr">
        <is>
          <t>HALLANDS LÄN</t>
        </is>
      </c>
      <c r="E75" t="inlineStr">
        <is>
          <t>HYLTE</t>
        </is>
      </c>
      <c r="G75" t="n">
        <v>6.2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14256-2022</t>
        </is>
      </c>
      <c r="B76" s="1" t="n">
        <v>44651.74912037037</v>
      </c>
      <c r="C76" s="1" t="n">
        <v>45983</v>
      </c>
      <c r="D76" t="inlineStr">
        <is>
          <t>HALLANDS LÄN</t>
        </is>
      </c>
      <c r="E76" t="inlineStr">
        <is>
          <t>HYLTE</t>
        </is>
      </c>
      <c r="G76" t="n">
        <v>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53267-2022</t>
        </is>
      </c>
      <c r="B77" s="1" t="n">
        <v>44876</v>
      </c>
      <c r="C77" s="1" t="n">
        <v>45983</v>
      </c>
      <c r="D77" t="inlineStr">
        <is>
          <t>HALLANDS LÄN</t>
        </is>
      </c>
      <c r="E77" t="inlineStr">
        <is>
          <t>HYLTE</t>
        </is>
      </c>
      <c r="G77" t="n">
        <v>4.2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11876-2021</t>
        </is>
      </c>
      <c r="B78" s="1" t="n">
        <v>44265.67184027778</v>
      </c>
      <c r="C78" s="1" t="n">
        <v>45983</v>
      </c>
      <c r="D78" t="inlineStr">
        <is>
          <t>HALLANDS LÄN</t>
        </is>
      </c>
      <c r="E78" t="inlineStr">
        <is>
          <t>HYLTE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21995-2022</t>
        </is>
      </c>
      <c r="B79" s="1" t="n">
        <v>44711</v>
      </c>
      <c r="C79" s="1" t="n">
        <v>45983</v>
      </c>
      <c r="D79" t="inlineStr">
        <is>
          <t>HALLANDS LÄN</t>
        </is>
      </c>
      <c r="E79" t="inlineStr">
        <is>
          <t>HYLTE</t>
        </is>
      </c>
      <c r="G79" t="n">
        <v>2.5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58045-2021</t>
        </is>
      </c>
      <c r="B80" s="1" t="n">
        <v>44487</v>
      </c>
      <c r="C80" s="1" t="n">
        <v>45983</v>
      </c>
      <c r="D80" t="inlineStr">
        <is>
          <t>HALLANDS LÄN</t>
        </is>
      </c>
      <c r="E80" t="inlineStr">
        <is>
          <t>HYLTE</t>
        </is>
      </c>
      <c r="F80" t="inlineStr">
        <is>
          <t>Bergvik skog väst AB</t>
        </is>
      </c>
      <c r="G80" t="n">
        <v>5.2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26184-2022</t>
        </is>
      </c>
      <c r="B81" s="1" t="n">
        <v>44735.37892361111</v>
      </c>
      <c r="C81" s="1" t="n">
        <v>45983</v>
      </c>
      <c r="D81" t="inlineStr">
        <is>
          <t>HALLANDS LÄN</t>
        </is>
      </c>
      <c r="E81" t="inlineStr">
        <is>
          <t>HYLTE</t>
        </is>
      </c>
      <c r="G81" t="n">
        <v>2.7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4581-2021</t>
        </is>
      </c>
      <c r="B82" s="1" t="n">
        <v>44224</v>
      </c>
      <c r="C82" s="1" t="n">
        <v>45983</v>
      </c>
      <c r="D82" t="inlineStr">
        <is>
          <t>HALLANDS LÄN</t>
        </is>
      </c>
      <c r="E82" t="inlineStr">
        <is>
          <t>HYLTE</t>
        </is>
      </c>
      <c r="G82" t="n">
        <v>2.8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28925-2021</t>
        </is>
      </c>
      <c r="B83" s="1" t="n">
        <v>44357</v>
      </c>
      <c r="C83" s="1" t="n">
        <v>45983</v>
      </c>
      <c r="D83" t="inlineStr">
        <is>
          <t>HALLANDS LÄN</t>
        </is>
      </c>
      <c r="E83" t="inlineStr">
        <is>
          <t>HYLTE</t>
        </is>
      </c>
      <c r="F83" t="inlineStr">
        <is>
          <t>Kyrkan</t>
        </is>
      </c>
      <c r="G83" t="n">
        <v>0.7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56034-2021</t>
        </is>
      </c>
      <c r="B84" s="1" t="n">
        <v>44477.47153935185</v>
      </c>
      <c r="C84" s="1" t="n">
        <v>45983</v>
      </c>
      <c r="D84" t="inlineStr">
        <is>
          <t>HALLANDS LÄN</t>
        </is>
      </c>
      <c r="E84" t="inlineStr">
        <is>
          <t>HYLTE</t>
        </is>
      </c>
      <c r="G84" t="n">
        <v>0.5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12632-2021</t>
        </is>
      </c>
      <c r="B85" s="1" t="n">
        <v>44267</v>
      </c>
      <c r="C85" s="1" t="n">
        <v>45983</v>
      </c>
      <c r="D85" t="inlineStr">
        <is>
          <t>HALLANDS LÄN</t>
        </is>
      </c>
      <c r="E85" t="inlineStr">
        <is>
          <t>HYLTE</t>
        </is>
      </c>
      <c r="F85" t="inlineStr">
        <is>
          <t>Bergvik skog väst AB</t>
        </is>
      </c>
      <c r="G85" t="n">
        <v>9.9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28507-2021</t>
        </is>
      </c>
      <c r="B86" s="1" t="n">
        <v>44356</v>
      </c>
      <c r="C86" s="1" t="n">
        <v>45983</v>
      </c>
      <c r="D86" t="inlineStr">
        <is>
          <t>HALLANDS LÄN</t>
        </is>
      </c>
      <c r="E86" t="inlineStr">
        <is>
          <t>HYLTE</t>
        </is>
      </c>
      <c r="G86" t="n">
        <v>0.5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28508-2021</t>
        </is>
      </c>
      <c r="B87" s="1" t="n">
        <v>44356.62792824074</v>
      </c>
      <c r="C87" s="1" t="n">
        <v>45983</v>
      </c>
      <c r="D87" t="inlineStr">
        <is>
          <t>HALLANDS LÄN</t>
        </is>
      </c>
      <c r="E87" t="inlineStr">
        <is>
          <t>HYLTE</t>
        </is>
      </c>
      <c r="G87" t="n">
        <v>0.4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58836-2021</t>
        </is>
      </c>
      <c r="B88" s="1" t="n">
        <v>44489</v>
      </c>
      <c r="C88" s="1" t="n">
        <v>45983</v>
      </c>
      <c r="D88" t="inlineStr">
        <is>
          <t>HALLANDS LÄN</t>
        </is>
      </c>
      <c r="E88" t="inlineStr">
        <is>
          <t>HYLTE</t>
        </is>
      </c>
      <c r="G88" t="n">
        <v>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68914-2020</t>
        </is>
      </c>
      <c r="B89" s="1" t="n">
        <v>44187</v>
      </c>
      <c r="C89" s="1" t="n">
        <v>45983</v>
      </c>
      <c r="D89" t="inlineStr">
        <is>
          <t>HALLANDS LÄN</t>
        </is>
      </c>
      <c r="E89" t="inlineStr">
        <is>
          <t>HYLTE</t>
        </is>
      </c>
      <c r="G89" t="n">
        <v>4.2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32367-2021</t>
        </is>
      </c>
      <c r="B90" s="1" t="n">
        <v>44371</v>
      </c>
      <c r="C90" s="1" t="n">
        <v>45983</v>
      </c>
      <c r="D90" t="inlineStr">
        <is>
          <t>HALLANDS LÄN</t>
        </is>
      </c>
      <c r="E90" t="inlineStr">
        <is>
          <t>HYLTE</t>
        </is>
      </c>
      <c r="G90" t="n">
        <v>3.4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12001-2021</t>
        </is>
      </c>
      <c r="B91" s="1" t="n">
        <v>44266.44005787037</v>
      </c>
      <c r="C91" s="1" t="n">
        <v>45983</v>
      </c>
      <c r="D91" t="inlineStr">
        <is>
          <t>HALLANDS LÄN</t>
        </is>
      </c>
      <c r="E91" t="inlineStr">
        <is>
          <t>HYLTE</t>
        </is>
      </c>
      <c r="F91" t="inlineStr">
        <is>
          <t>Bergvik skog väst AB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43364-2022</t>
        </is>
      </c>
      <c r="B92" s="1" t="n">
        <v>44834.64466435185</v>
      </c>
      <c r="C92" s="1" t="n">
        <v>45983</v>
      </c>
      <c r="D92" t="inlineStr">
        <is>
          <t>HALLANDS LÄN</t>
        </is>
      </c>
      <c r="E92" t="inlineStr">
        <is>
          <t>HYLTE</t>
        </is>
      </c>
      <c r="G92" t="n">
        <v>0.6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53813-2021</t>
        </is>
      </c>
      <c r="B93" s="1" t="n">
        <v>44469</v>
      </c>
      <c r="C93" s="1" t="n">
        <v>45983</v>
      </c>
      <c r="D93" t="inlineStr">
        <is>
          <t>HALLANDS LÄN</t>
        </is>
      </c>
      <c r="E93" t="inlineStr">
        <is>
          <t>HYLTE</t>
        </is>
      </c>
      <c r="G93" t="n">
        <v>0.5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34902-2022</t>
        </is>
      </c>
      <c r="B94" s="1" t="n">
        <v>44796.56157407408</v>
      </c>
      <c r="C94" s="1" t="n">
        <v>45983</v>
      </c>
      <c r="D94" t="inlineStr">
        <is>
          <t>HALLANDS LÄN</t>
        </is>
      </c>
      <c r="E94" t="inlineStr">
        <is>
          <t>HYLTE</t>
        </is>
      </c>
      <c r="G94" t="n">
        <v>2.7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37093-2021</t>
        </is>
      </c>
      <c r="B95" s="1" t="n">
        <v>44395.92155092592</v>
      </c>
      <c r="C95" s="1" t="n">
        <v>45983</v>
      </c>
      <c r="D95" t="inlineStr">
        <is>
          <t>HALLANDS LÄN</t>
        </is>
      </c>
      <c r="E95" t="inlineStr">
        <is>
          <t>HYLTE</t>
        </is>
      </c>
      <c r="G95" t="n">
        <v>0.7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62174-2021</t>
        </is>
      </c>
      <c r="B96" s="1" t="n">
        <v>44502</v>
      </c>
      <c r="C96" s="1" t="n">
        <v>45983</v>
      </c>
      <c r="D96" t="inlineStr">
        <is>
          <t>HALLANDS LÄN</t>
        </is>
      </c>
      <c r="E96" t="inlineStr">
        <is>
          <t>HYLTE</t>
        </is>
      </c>
      <c r="G96" t="n">
        <v>0.3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24191-2021</t>
        </is>
      </c>
      <c r="B97" s="1" t="n">
        <v>44336.65660879629</v>
      </c>
      <c r="C97" s="1" t="n">
        <v>45983</v>
      </c>
      <c r="D97" t="inlineStr">
        <is>
          <t>HALLANDS LÄN</t>
        </is>
      </c>
      <c r="E97" t="inlineStr">
        <is>
          <t>HYLTE</t>
        </is>
      </c>
      <c r="G97" t="n">
        <v>1.2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44134-2022</t>
        </is>
      </c>
      <c r="B98" s="1" t="n">
        <v>44839.40571759259</v>
      </c>
      <c r="C98" s="1" t="n">
        <v>45983</v>
      </c>
      <c r="D98" t="inlineStr">
        <is>
          <t>HALLANDS LÄN</t>
        </is>
      </c>
      <c r="E98" t="inlineStr">
        <is>
          <t>HYLTE</t>
        </is>
      </c>
      <c r="G98" t="n">
        <v>0.8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15336-2022</t>
        </is>
      </c>
      <c r="B99" s="1" t="n">
        <v>44659.52917824074</v>
      </c>
      <c r="C99" s="1" t="n">
        <v>45983</v>
      </c>
      <c r="D99" t="inlineStr">
        <is>
          <t>HALLANDS LÄN</t>
        </is>
      </c>
      <c r="E99" t="inlineStr">
        <is>
          <t>HYLTE</t>
        </is>
      </c>
      <c r="G99" t="n">
        <v>0.7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53268-2022</t>
        </is>
      </c>
      <c r="B100" s="1" t="n">
        <v>44876.8518287037</v>
      </c>
      <c r="C100" s="1" t="n">
        <v>45983</v>
      </c>
      <c r="D100" t="inlineStr">
        <is>
          <t>HALLANDS LÄN</t>
        </is>
      </c>
      <c r="E100" t="inlineStr">
        <is>
          <t>HYLTE</t>
        </is>
      </c>
      <c r="G100" t="n">
        <v>2.3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11567-2022</t>
        </is>
      </c>
      <c r="B101" s="1" t="n">
        <v>44631</v>
      </c>
      <c r="C101" s="1" t="n">
        <v>45983</v>
      </c>
      <c r="D101" t="inlineStr">
        <is>
          <t>HALLANDS LÄN</t>
        </is>
      </c>
      <c r="E101" t="inlineStr">
        <is>
          <t>HYLTE</t>
        </is>
      </c>
      <c r="G101" t="n">
        <v>1.6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13252-2022</t>
        </is>
      </c>
      <c r="B102" s="1" t="n">
        <v>44644</v>
      </c>
      <c r="C102" s="1" t="n">
        <v>45983</v>
      </c>
      <c r="D102" t="inlineStr">
        <is>
          <t>HALLANDS LÄN</t>
        </is>
      </c>
      <c r="E102" t="inlineStr">
        <is>
          <t>HYLTE</t>
        </is>
      </c>
      <c r="G102" t="n">
        <v>1.4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65342-2021</t>
        </is>
      </c>
      <c r="B103" s="1" t="n">
        <v>44515</v>
      </c>
      <c r="C103" s="1" t="n">
        <v>45983</v>
      </c>
      <c r="D103" t="inlineStr">
        <is>
          <t>HALLANDS LÄN</t>
        </is>
      </c>
      <c r="E103" t="inlineStr">
        <is>
          <t>HYLTE</t>
        </is>
      </c>
      <c r="F103" t="inlineStr">
        <is>
          <t>Bergvik skog väst AB</t>
        </is>
      </c>
      <c r="G103" t="n">
        <v>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35102-2021</t>
        </is>
      </c>
      <c r="B104" s="1" t="n">
        <v>44384.35923611111</v>
      </c>
      <c r="C104" s="1" t="n">
        <v>45983</v>
      </c>
      <c r="D104" t="inlineStr">
        <is>
          <t>HALLANDS LÄN</t>
        </is>
      </c>
      <c r="E104" t="inlineStr">
        <is>
          <t>HYLTE</t>
        </is>
      </c>
      <c r="G104" t="n">
        <v>0.8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32049-2022</t>
        </is>
      </c>
      <c r="B105" s="1" t="n">
        <v>44778</v>
      </c>
      <c r="C105" s="1" t="n">
        <v>45983</v>
      </c>
      <c r="D105" t="inlineStr">
        <is>
          <t>HALLANDS LÄN</t>
        </is>
      </c>
      <c r="E105" t="inlineStr">
        <is>
          <t>HYLTE</t>
        </is>
      </c>
      <c r="G105" t="n">
        <v>0.3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48126-2021</t>
        </is>
      </c>
      <c r="B106" s="1" t="n">
        <v>44449.47519675926</v>
      </c>
      <c r="C106" s="1" t="n">
        <v>45983</v>
      </c>
      <c r="D106" t="inlineStr">
        <is>
          <t>HALLANDS LÄN</t>
        </is>
      </c>
      <c r="E106" t="inlineStr">
        <is>
          <t>HYLTE</t>
        </is>
      </c>
      <c r="G106" t="n">
        <v>2.5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49884-2021</t>
        </is>
      </c>
      <c r="B107" s="1" t="n">
        <v>44455</v>
      </c>
      <c r="C107" s="1" t="n">
        <v>45983</v>
      </c>
      <c r="D107" t="inlineStr">
        <is>
          <t>HALLANDS LÄN</t>
        </is>
      </c>
      <c r="E107" t="inlineStr">
        <is>
          <t>HYLTE</t>
        </is>
      </c>
      <c r="G107" t="n">
        <v>0.7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57006-2021</t>
        </is>
      </c>
      <c r="B108" s="1" t="n">
        <v>44482.47785879629</v>
      </c>
      <c r="C108" s="1" t="n">
        <v>45983</v>
      </c>
      <c r="D108" t="inlineStr">
        <is>
          <t>HALLANDS LÄN</t>
        </is>
      </c>
      <c r="E108" t="inlineStr">
        <is>
          <t>HYLTE</t>
        </is>
      </c>
      <c r="G108" t="n">
        <v>1.4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57015-2021</t>
        </is>
      </c>
      <c r="B109" s="1" t="n">
        <v>44482.49334490741</v>
      </c>
      <c r="C109" s="1" t="n">
        <v>45983</v>
      </c>
      <c r="D109" t="inlineStr">
        <is>
          <t>HALLANDS LÄN</t>
        </is>
      </c>
      <c r="E109" t="inlineStr">
        <is>
          <t>HYLTE</t>
        </is>
      </c>
      <c r="G109" t="n">
        <v>0.7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50712-2022</t>
        </is>
      </c>
      <c r="B110" s="1" t="n">
        <v>44867.34995370371</v>
      </c>
      <c r="C110" s="1" t="n">
        <v>45983</v>
      </c>
      <c r="D110" t="inlineStr">
        <is>
          <t>HALLANDS LÄN</t>
        </is>
      </c>
      <c r="E110" t="inlineStr">
        <is>
          <t>HYLTE</t>
        </is>
      </c>
      <c r="G110" t="n">
        <v>2.5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63107-2021</t>
        </is>
      </c>
      <c r="B111" s="1" t="n">
        <v>44505.61444444444</v>
      </c>
      <c r="C111" s="1" t="n">
        <v>45983</v>
      </c>
      <c r="D111" t="inlineStr">
        <is>
          <t>HALLANDS LÄN</t>
        </is>
      </c>
      <c r="E111" t="inlineStr">
        <is>
          <t>HYLTE</t>
        </is>
      </c>
      <c r="G111" t="n">
        <v>0.7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11689-2022</t>
        </is>
      </c>
      <c r="B112" s="1" t="n">
        <v>44634</v>
      </c>
      <c r="C112" s="1" t="n">
        <v>45983</v>
      </c>
      <c r="D112" t="inlineStr">
        <is>
          <t>HALLANDS LÄN</t>
        </is>
      </c>
      <c r="E112" t="inlineStr">
        <is>
          <t>HYLTE</t>
        </is>
      </c>
      <c r="G112" t="n">
        <v>1.7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12630-2021</t>
        </is>
      </c>
      <c r="B113" s="1" t="n">
        <v>44267</v>
      </c>
      <c r="C113" s="1" t="n">
        <v>45983</v>
      </c>
      <c r="D113" t="inlineStr">
        <is>
          <t>HALLANDS LÄN</t>
        </is>
      </c>
      <c r="E113" t="inlineStr">
        <is>
          <t>HYLTE</t>
        </is>
      </c>
      <c r="F113" t="inlineStr">
        <is>
          <t>Bergvik skog väst AB</t>
        </is>
      </c>
      <c r="G113" t="n">
        <v>3.9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29990-2021</t>
        </is>
      </c>
      <c r="B114" s="1" t="n">
        <v>44363.38550925926</v>
      </c>
      <c r="C114" s="1" t="n">
        <v>45983</v>
      </c>
      <c r="D114" t="inlineStr">
        <is>
          <t>HALLANDS LÄN</t>
        </is>
      </c>
      <c r="E114" t="inlineStr">
        <is>
          <t>HYLTE</t>
        </is>
      </c>
      <c r="G114" t="n">
        <v>0.6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24891-2022</t>
        </is>
      </c>
      <c r="B115" s="1" t="n">
        <v>44728.58040509259</v>
      </c>
      <c r="C115" s="1" t="n">
        <v>45983</v>
      </c>
      <c r="D115" t="inlineStr">
        <is>
          <t>HALLANDS LÄN</t>
        </is>
      </c>
      <c r="E115" t="inlineStr">
        <is>
          <t>HYLTE</t>
        </is>
      </c>
      <c r="G115" t="n">
        <v>0.3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31171-2022</t>
        </is>
      </c>
      <c r="B116" s="1" t="n">
        <v>44770.54723379629</v>
      </c>
      <c r="C116" s="1" t="n">
        <v>45983</v>
      </c>
      <c r="D116" t="inlineStr">
        <is>
          <t>HALLANDS LÄN</t>
        </is>
      </c>
      <c r="E116" t="inlineStr">
        <is>
          <t>HYLTE</t>
        </is>
      </c>
      <c r="G116" t="n">
        <v>1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22591-2022</t>
        </is>
      </c>
      <c r="B117" s="1" t="n">
        <v>44714.34483796296</v>
      </c>
      <c r="C117" s="1" t="n">
        <v>45983</v>
      </c>
      <c r="D117" t="inlineStr">
        <is>
          <t>HALLANDS LÄN</t>
        </is>
      </c>
      <c r="E117" t="inlineStr">
        <is>
          <t>HYLTE</t>
        </is>
      </c>
      <c r="G117" t="n">
        <v>0.7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24185-2021</t>
        </is>
      </c>
      <c r="B118" s="1" t="n">
        <v>44336.64763888889</v>
      </c>
      <c r="C118" s="1" t="n">
        <v>45983</v>
      </c>
      <c r="D118" t="inlineStr">
        <is>
          <t>HALLANDS LÄN</t>
        </is>
      </c>
      <c r="E118" t="inlineStr">
        <is>
          <t>HYLTE</t>
        </is>
      </c>
      <c r="G118" t="n">
        <v>1.1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66473-2020</t>
        </is>
      </c>
      <c r="B119" s="1" t="n">
        <v>44177.35059027778</v>
      </c>
      <c r="C119" s="1" t="n">
        <v>45983</v>
      </c>
      <c r="D119" t="inlineStr">
        <is>
          <t>HALLANDS LÄN</t>
        </is>
      </c>
      <c r="E119" t="inlineStr">
        <is>
          <t>HYLTE</t>
        </is>
      </c>
      <c r="G119" t="n">
        <v>1.8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17341-2021</t>
        </is>
      </c>
      <c r="B120" s="1" t="n">
        <v>44298</v>
      </c>
      <c r="C120" s="1" t="n">
        <v>45983</v>
      </c>
      <c r="D120" t="inlineStr">
        <is>
          <t>HALLANDS LÄN</t>
        </is>
      </c>
      <c r="E120" t="inlineStr">
        <is>
          <t>HYLTE</t>
        </is>
      </c>
      <c r="G120" t="n">
        <v>1.7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47822-2021</t>
        </is>
      </c>
      <c r="B121" s="1" t="n">
        <v>44448</v>
      </c>
      <c r="C121" s="1" t="n">
        <v>45983</v>
      </c>
      <c r="D121" t="inlineStr">
        <is>
          <t>HALLANDS LÄN</t>
        </is>
      </c>
      <c r="E121" t="inlineStr">
        <is>
          <t>HYLTE</t>
        </is>
      </c>
      <c r="G121" t="n">
        <v>1.1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7914-2021</t>
        </is>
      </c>
      <c r="B122" s="1" t="n">
        <v>44243</v>
      </c>
      <c r="C122" s="1" t="n">
        <v>45983</v>
      </c>
      <c r="D122" t="inlineStr">
        <is>
          <t>HALLANDS LÄN</t>
        </is>
      </c>
      <c r="E122" t="inlineStr">
        <is>
          <t>HYLTE</t>
        </is>
      </c>
      <c r="G122" t="n">
        <v>7.7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34628-2022</t>
        </is>
      </c>
      <c r="B123" s="1" t="n">
        <v>44795.44545138889</v>
      </c>
      <c r="C123" s="1" t="n">
        <v>45983</v>
      </c>
      <c r="D123" t="inlineStr">
        <is>
          <t>HALLANDS LÄN</t>
        </is>
      </c>
      <c r="E123" t="inlineStr">
        <is>
          <t>HYLTE</t>
        </is>
      </c>
      <c r="G123" t="n">
        <v>0.5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29388-2022</t>
        </is>
      </c>
      <c r="B124" s="1" t="n">
        <v>44753</v>
      </c>
      <c r="C124" s="1" t="n">
        <v>45983</v>
      </c>
      <c r="D124" t="inlineStr">
        <is>
          <t>HALLANDS LÄN</t>
        </is>
      </c>
      <c r="E124" t="inlineStr">
        <is>
          <t>HYLTE</t>
        </is>
      </c>
      <c r="G124" t="n">
        <v>2.1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20473-2022</t>
        </is>
      </c>
      <c r="B125" s="1" t="n">
        <v>44699.64168981482</v>
      </c>
      <c r="C125" s="1" t="n">
        <v>45983</v>
      </c>
      <c r="D125" t="inlineStr">
        <is>
          <t>HALLANDS LÄN</t>
        </is>
      </c>
      <c r="E125" t="inlineStr">
        <is>
          <t>HYLTE</t>
        </is>
      </c>
      <c r="G125" t="n">
        <v>1.4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39550-2022</t>
        </is>
      </c>
      <c r="B126" s="1" t="n">
        <v>44818.55752314815</v>
      </c>
      <c r="C126" s="1" t="n">
        <v>45983</v>
      </c>
      <c r="D126" t="inlineStr">
        <is>
          <t>HALLANDS LÄN</t>
        </is>
      </c>
      <c r="E126" t="inlineStr">
        <is>
          <t>HYLTE</t>
        </is>
      </c>
      <c r="G126" t="n">
        <v>0.5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35795-2022</t>
        </is>
      </c>
      <c r="B127" s="1" t="n">
        <v>44801.89085648148</v>
      </c>
      <c r="C127" s="1" t="n">
        <v>45983</v>
      </c>
      <c r="D127" t="inlineStr">
        <is>
          <t>HALLANDS LÄN</t>
        </is>
      </c>
      <c r="E127" t="inlineStr">
        <is>
          <t>HYLTE</t>
        </is>
      </c>
      <c r="G127" t="n">
        <v>0.3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5777-2022</t>
        </is>
      </c>
      <c r="B128" s="1" t="n">
        <v>44596</v>
      </c>
      <c r="C128" s="1" t="n">
        <v>45983</v>
      </c>
      <c r="D128" t="inlineStr">
        <is>
          <t>HALLANDS LÄN</t>
        </is>
      </c>
      <c r="E128" t="inlineStr">
        <is>
          <t>HYLTE</t>
        </is>
      </c>
      <c r="F128" t="inlineStr">
        <is>
          <t>Bergvik skog väst AB</t>
        </is>
      </c>
      <c r="G128" t="n">
        <v>15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13159-2022</t>
        </is>
      </c>
      <c r="B129" s="1" t="n">
        <v>44644.43534722222</v>
      </c>
      <c r="C129" s="1" t="n">
        <v>45983</v>
      </c>
      <c r="D129" t="inlineStr">
        <is>
          <t>HALLANDS LÄN</t>
        </is>
      </c>
      <c r="E129" t="inlineStr">
        <is>
          <t>HYLTE</t>
        </is>
      </c>
      <c r="G129" t="n">
        <v>0.7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67290-2021</t>
        </is>
      </c>
      <c r="B130" s="1" t="n">
        <v>44523.62166666667</v>
      </c>
      <c r="C130" s="1" t="n">
        <v>45983</v>
      </c>
      <c r="D130" t="inlineStr">
        <is>
          <t>HALLANDS LÄN</t>
        </is>
      </c>
      <c r="E130" t="inlineStr">
        <is>
          <t>HYLTE</t>
        </is>
      </c>
      <c r="G130" t="n">
        <v>0.5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61380-2021</t>
        </is>
      </c>
      <c r="B131" s="1" t="n">
        <v>44500.48740740741</v>
      </c>
      <c r="C131" s="1" t="n">
        <v>45983</v>
      </c>
      <c r="D131" t="inlineStr">
        <is>
          <t>HALLANDS LÄN</t>
        </is>
      </c>
      <c r="E131" t="inlineStr">
        <is>
          <t>HYLTE</t>
        </is>
      </c>
      <c r="G131" t="n">
        <v>1.2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24626-2022</t>
        </is>
      </c>
      <c r="B132" s="1" t="n">
        <v>44727.56915509259</v>
      </c>
      <c r="C132" s="1" t="n">
        <v>45983</v>
      </c>
      <c r="D132" t="inlineStr">
        <is>
          <t>HALLANDS LÄN</t>
        </is>
      </c>
      <c r="E132" t="inlineStr">
        <is>
          <t>HYLTE</t>
        </is>
      </c>
      <c r="G132" t="n">
        <v>4.3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21308-2022</t>
        </is>
      </c>
      <c r="B133" s="1" t="n">
        <v>44705.55438657408</v>
      </c>
      <c r="C133" s="1" t="n">
        <v>45983</v>
      </c>
      <c r="D133" t="inlineStr">
        <is>
          <t>HALLANDS LÄN</t>
        </is>
      </c>
      <c r="E133" t="inlineStr">
        <is>
          <t>HYLTE</t>
        </is>
      </c>
      <c r="G133" t="n">
        <v>1.2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15322-2022</t>
        </is>
      </c>
      <c r="B134" s="1" t="n">
        <v>44659.49291666667</v>
      </c>
      <c r="C134" s="1" t="n">
        <v>45983</v>
      </c>
      <c r="D134" t="inlineStr">
        <is>
          <t>HALLANDS LÄN</t>
        </is>
      </c>
      <c r="E134" t="inlineStr">
        <is>
          <t>HYLTE</t>
        </is>
      </c>
      <c r="F134" t="inlineStr">
        <is>
          <t>Bergvik skog väst AB</t>
        </is>
      </c>
      <c r="G134" t="n">
        <v>0.4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15328-2022</t>
        </is>
      </c>
      <c r="B135" s="1" t="n">
        <v>44659</v>
      </c>
      <c r="C135" s="1" t="n">
        <v>45983</v>
      </c>
      <c r="D135" t="inlineStr">
        <is>
          <t>HALLANDS LÄN</t>
        </is>
      </c>
      <c r="E135" t="inlineStr">
        <is>
          <t>HYLTE</t>
        </is>
      </c>
      <c r="F135" t="inlineStr">
        <is>
          <t>Bergvik skog väst AB</t>
        </is>
      </c>
      <c r="G135" t="n">
        <v>1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30169-2022</t>
        </is>
      </c>
      <c r="B136" s="1" t="n">
        <v>44757.5672337963</v>
      </c>
      <c r="C136" s="1" t="n">
        <v>45983</v>
      </c>
      <c r="D136" t="inlineStr">
        <is>
          <t>HALLANDS LÄN</t>
        </is>
      </c>
      <c r="E136" t="inlineStr">
        <is>
          <t>HYLTE</t>
        </is>
      </c>
      <c r="G136" t="n">
        <v>0.6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59948-2021</t>
        </is>
      </c>
      <c r="B137" s="1" t="n">
        <v>44494.82555555556</v>
      </c>
      <c r="C137" s="1" t="n">
        <v>45983</v>
      </c>
      <c r="D137" t="inlineStr">
        <is>
          <t>HALLANDS LÄN</t>
        </is>
      </c>
      <c r="E137" t="inlineStr">
        <is>
          <t>HYLTE</t>
        </is>
      </c>
      <c r="G137" t="n">
        <v>3.9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60221-2021</t>
        </is>
      </c>
      <c r="B138" s="1" t="n">
        <v>44495.59643518519</v>
      </c>
      <c r="C138" s="1" t="n">
        <v>45983</v>
      </c>
      <c r="D138" t="inlineStr">
        <is>
          <t>HALLANDS LÄN</t>
        </is>
      </c>
      <c r="E138" t="inlineStr">
        <is>
          <t>HYLTE</t>
        </is>
      </c>
      <c r="G138" t="n">
        <v>1.1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7421-2025</t>
        </is>
      </c>
      <c r="B139" s="1" t="n">
        <v>45702</v>
      </c>
      <c r="C139" s="1" t="n">
        <v>45983</v>
      </c>
      <c r="D139" t="inlineStr">
        <is>
          <t>HALLANDS LÄN</t>
        </is>
      </c>
      <c r="E139" t="inlineStr">
        <is>
          <t>HYLTE</t>
        </is>
      </c>
      <c r="F139" t="inlineStr">
        <is>
          <t>Kommuner</t>
        </is>
      </c>
      <c r="G139" t="n">
        <v>2.9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18489-2023</t>
        </is>
      </c>
      <c r="B140" s="1" t="n">
        <v>45042.59592592593</v>
      </c>
      <c r="C140" s="1" t="n">
        <v>45983</v>
      </c>
      <c r="D140" t="inlineStr">
        <is>
          <t>HALLANDS LÄN</t>
        </is>
      </c>
      <c r="E140" t="inlineStr">
        <is>
          <t>HYLTE</t>
        </is>
      </c>
      <c r="G140" t="n">
        <v>0.6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4527-2024</t>
        </is>
      </c>
      <c r="B141" s="1" t="n">
        <v>45327</v>
      </c>
      <c r="C141" s="1" t="n">
        <v>45983</v>
      </c>
      <c r="D141" t="inlineStr">
        <is>
          <t>HALLANDS LÄN</t>
        </is>
      </c>
      <c r="E141" t="inlineStr">
        <is>
          <t>HYLTE</t>
        </is>
      </c>
      <c r="G141" t="n">
        <v>0.4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653-2024</t>
        </is>
      </c>
      <c r="B142" s="1" t="n">
        <v>45299.84064814815</v>
      </c>
      <c r="C142" s="1" t="n">
        <v>45983</v>
      </c>
      <c r="D142" t="inlineStr">
        <is>
          <t>HALLANDS LÄN</t>
        </is>
      </c>
      <c r="E142" t="inlineStr">
        <is>
          <t>HYLTE</t>
        </is>
      </c>
      <c r="G142" t="n">
        <v>1.3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48734-2023</t>
        </is>
      </c>
      <c r="B143" s="1" t="n">
        <v>45208.76167824074</v>
      </c>
      <c r="C143" s="1" t="n">
        <v>45983</v>
      </c>
      <c r="D143" t="inlineStr">
        <is>
          <t>HALLANDS LÄN</t>
        </is>
      </c>
      <c r="E143" t="inlineStr">
        <is>
          <t>HYLTE</t>
        </is>
      </c>
      <c r="G143" t="n">
        <v>2.6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50452-2022</t>
        </is>
      </c>
      <c r="B144" s="1" t="n">
        <v>44866.47762731482</v>
      </c>
      <c r="C144" s="1" t="n">
        <v>45983</v>
      </c>
      <c r="D144" t="inlineStr">
        <is>
          <t>HALLANDS LÄN</t>
        </is>
      </c>
      <c r="E144" t="inlineStr">
        <is>
          <t>HYLTE</t>
        </is>
      </c>
      <c r="G144" t="n">
        <v>5.5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6600-2025</t>
        </is>
      </c>
      <c r="B145" s="1" t="n">
        <v>45700.32070601852</v>
      </c>
      <c r="C145" s="1" t="n">
        <v>45983</v>
      </c>
      <c r="D145" t="inlineStr">
        <is>
          <t>HALLANDS LÄN</t>
        </is>
      </c>
      <c r="E145" t="inlineStr">
        <is>
          <t>HYLTE</t>
        </is>
      </c>
      <c r="G145" t="n">
        <v>3.7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57946-2022</t>
        </is>
      </c>
      <c r="B146" s="1" t="n">
        <v>44900.4021875</v>
      </c>
      <c r="C146" s="1" t="n">
        <v>45983</v>
      </c>
      <c r="D146" t="inlineStr">
        <is>
          <t>HALLANDS LÄN</t>
        </is>
      </c>
      <c r="E146" t="inlineStr">
        <is>
          <t>HYLTE</t>
        </is>
      </c>
      <c r="G146" t="n">
        <v>2.1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57938-2022</t>
        </is>
      </c>
      <c r="B147" s="1" t="n">
        <v>44900</v>
      </c>
      <c r="C147" s="1" t="n">
        <v>45983</v>
      </c>
      <c r="D147" t="inlineStr">
        <is>
          <t>HALLANDS LÄN</t>
        </is>
      </c>
      <c r="E147" t="inlineStr">
        <is>
          <t>HYLTE</t>
        </is>
      </c>
      <c r="G147" t="n">
        <v>11.6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9377-2024</t>
        </is>
      </c>
      <c r="B148" s="1" t="n">
        <v>45359.36799768519</v>
      </c>
      <c r="C148" s="1" t="n">
        <v>45983</v>
      </c>
      <c r="D148" t="inlineStr">
        <is>
          <t>HALLANDS LÄN</t>
        </is>
      </c>
      <c r="E148" t="inlineStr">
        <is>
          <t>HYLTE</t>
        </is>
      </c>
      <c r="G148" t="n">
        <v>0.6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59626-2023</t>
        </is>
      </c>
      <c r="B149" s="1" t="n">
        <v>45254.66980324074</v>
      </c>
      <c r="C149" s="1" t="n">
        <v>45983</v>
      </c>
      <c r="D149" t="inlineStr">
        <is>
          <t>HALLANDS LÄN</t>
        </is>
      </c>
      <c r="E149" t="inlineStr">
        <is>
          <t>HYLTE</t>
        </is>
      </c>
      <c r="G149" t="n">
        <v>0.5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5436-2024</t>
        </is>
      </c>
      <c r="B150" s="1" t="n">
        <v>45331</v>
      </c>
      <c r="C150" s="1" t="n">
        <v>45983</v>
      </c>
      <c r="D150" t="inlineStr">
        <is>
          <t>HALLANDS LÄN</t>
        </is>
      </c>
      <c r="E150" t="inlineStr">
        <is>
          <t>HYLTE</t>
        </is>
      </c>
      <c r="G150" t="n">
        <v>1.7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46251-2022</t>
        </is>
      </c>
      <c r="B151" s="1" t="n">
        <v>44847</v>
      </c>
      <c r="C151" s="1" t="n">
        <v>45983</v>
      </c>
      <c r="D151" t="inlineStr">
        <is>
          <t>HALLANDS LÄN</t>
        </is>
      </c>
      <c r="E151" t="inlineStr">
        <is>
          <t>HYLTE</t>
        </is>
      </c>
      <c r="G151" t="n">
        <v>0.6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59421-2023</t>
        </is>
      </c>
      <c r="B152" s="1" t="n">
        <v>45254.24417824074</v>
      </c>
      <c r="C152" s="1" t="n">
        <v>45983</v>
      </c>
      <c r="D152" t="inlineStr">
        <is>
          <t>HALLANDS LÄN</t>
        </is>
      </c>
      <c r="E152" t="inlineStr">
        <is>
          <t>HYLTE</t>
        </is>
      </c>
      <c r="G152" t="n">
        <v>0.7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59423-2023</t>
        </is>
      </c>
      <c r="B153" s="1" t="n">
        <v>45254.24543981482</v>
      </c>
      <c r="C153" s="1" t="n">
        <v>45983</v>
      </c>
      <c r="D153" t="inlineStr">
        <is>
          <t>HALLANDS LÄN</t>
        </is>
      </c>
      <c r="E153" t="inlineStr">
        <is>
          <t>HYLTE</t>
        </is>
      </c>
      <c r="G153" t="n">
        <v>0.6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20737-2024</t>
        </is>
      </c>
      <c r="B154" s="1" t="n">
        <v>45436</v>
      </c>
      <c r="C154" s="1" t="n">
        <v>45983</v>
      </c>
      <c r="D154" t="inlineStr">
        <is>
          <t>HALLANDS LÄN</t>
        </is>
      </c>
      <c r="E154" t="inlineStr">
        <is>
          <t>HYLTE</t>
        </is>
      </c>
      <c r="G154" t="n">
        <v>2.2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6789-2021</t>
        </is>
      </c>
      <c r="B155" s="1" t="n">
        <v>44236</v>
      </c>
      <c r="C155" s="1" t="n">
        <v>45983</v>
      </c>
      <c r="D155" t="inlineStr">
        <is>
          <t>HALLANDS LÄN</t>
        </is>
      </c>
      <c r="E155" t="inlineStr">
        <is>
          <t>HYLTE</t>
        </is>
      </c>
      <c r="G155" t="n">
        <v>5.3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13686-2024</t>
        </is>
      </c>
      <c r="B156" s="1" t="n">
        <v>45390.56517361111</v>
      </c>
      <c r="C156" s="1" t="n">
        <v>45983</v>
      </c>
      <c r="D156" t="inlineStr">
        <is>
          <t>HALLANDS LÄN</t>
        </is>
      </c>
      <c r="E156" t="inlineStr">
        <is>
          <t>HYLTE</t>
        </is>
      </c>
      <c r="G156" t="n">
        <v>0.5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61675-2023</t>
        </is>
      </c>
      <c r="B157" s="1" t="n">
        <v>45265.62506944445</v>
      </c>
      <c r="C157" s="1" t="n">
        <v>45983</v>
      </c>
      <c r="D157" t="inlineStr">
        <is>
          <t>HALLANDS LÄN</t>
        </is>
      </c>
      <c r="E157" t="inlineStr">
        <is>
          <t>HYLTE</t>
        </is>
      </c>
      <c r="G157" t="n">
        <v>0.7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51943-2022</t>
        </is>
      </c>
      <c r="B158" s="1" t="n">
        <v>44872.66201388889</v>
      </c>
      <c r="C158" s="1" t="n">
        <v>45983</v>
      </c>
      <c r="D158" t="inlineStr">
        <is>
          <t>HALLANDS LÄN</t>
        </is>
      </c>
      <c r="E158" t="inlineStr">
        <is>
          <t>HYLTE</t>
        </is>
      </c>
      <c r="G158" t="n">
        <v>1.9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49505-2021</t>
        </is>
      </c>
      <c r="B159" s="1" t="n">
        <v>44454</v>
      </c>
      <c r="C159" s="1" t="n">
        <v>45983</v>
      </c>
      <c r="D159" t="inlineStr">
        <is>
          <t>HALLANDS LÄN</t>
        </is>
      </c>
      <c r="E159" t="inlineStr">
        <is>
          <t>HYLTE</t>
        </is>
      </c>
      <c r="G159" t="n">
        <v>4.8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40870-2021</t>
        </is>
      </c>
      <c r="B160" s="1" t="n">
        <v>44421.45346064815</v>
      </c>
      <c r="C160" s="1" t="n">
        <v>45983</v>
      </c>
      <c r="D160" t="inlineStr">
        <is>
          <t>HALLANDS LÄN</t>
        </is>
      </c>
      <c r="E160" t="inlineStr">
        <is>
          <t>HYLTE</t>
        </is>
      </c>
      <c r="G160" t="n">
        <v>6.3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21767-2025</t>
        </is>
      </c>
      <c r="B161" s="1" t="n">
        <v>45783.65039351852</v>
      </c>
      <c r="C161" s="1" t="n">
        <v>45983</v>
      </c>
      <c r="D161" t="inlineStr">
        <is>
          <t>HALLANDS LÄN</t>
        </is>
      </c>
      <c r="E161" t="inlineStr">
        <is>
          <t>HYLTE</t>
        </is>
      </c>
      <c r="G161" t="n">
        <v>0.6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54230-2024</t>
        </is>
      </c>
      <c r="B162" s="1" t="n">
        <v>45616.67680555556</v>
      </c>
      <c r="C162" s="1" t="n">
        <v>45983</v>
      </c>
      <c r="D162" t="inlineStr">
        <is>
          <t>HALLANDS LÄN</t>
        </is>
      </c>
      <c r="E162" t="inlineStr">
        <is>
          <t>HYLTE</t>
        </is>
      </c>
      <c r="G162" t="n">
        <v>1.1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15276-2024</t>
        </is>
      </c>
      <c r="B163" s="1" t="n">
        <v>45400.58980324074</v>
      </c>
      <c r="C163" s="1" t="n">
        <v>45983</v>
      </c>
      <c r="D163" t="inlineStr">
        <is>
          <t>HALLANDS LÄN</t>
        </is>
      </c>
      <c r="E163" t="inlineStr">
        <is>
          <t>HYLTE</t>
        </is>
      </c>
      <c r="G163" t="n">
        <v>1.2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22323-2025</t>
        </is>
      </c>
      <c r="B164" s="1" t="n">
        <v>45786</v>
      </c>
      <c r="C164" s="1" t="n">
        <v>45983</v>
      </c>
      <c r="D164" t="inlineStr">
        <is>
          <t>HALLANDS LÄN</t>
        </is>
      </c>
      <c r="E164" t="inlineStr">
        <is>
          <t>HYLTE</t>
        </is>
      </c>
      <c r="F164" t="inlineStr">
        <is>
          <t>Kyrkan</t>
        </is>
      </c>
      <c r="G164" t="n">
        <v>7.3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54421-2024</t>
        </is>
      </c>
      <c r="B165" s="1" t="n">
        <v>45617.48858796297</v>
      </c>
      <c r="C165" s="1" t="n">
        <v>45983</v>
      </c>
      <c r="D165" t="inlineStr">
        <is>
          <t>HALLANDS LÄN</t>
        </is>
      </c>
      <c r="E165" t="inlineStr">
        <is>
          <t>HYLTE</t>
        </is>
      </c>
      <c r="G165" t="n">
        <v>3.9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41340-2024</t>
        </is>
      </c>
      <c r="B166" s="1" t="n">
        <v>45559.67306712963</v>
      </c>
      <c r="C166" s="1" t="n">
        <v>45983</v>
      </c>
      <c r="D166" t="inlineStr">
        <is>
          <t>HALLANDS LÄN</t>
        </is>
      </c>
      <c r="E166" t="inlineStr">
        <is>
          <t>HYLTE</t>
        </is>
      </c>
      <c r="G166" t="n">
        <v>1.3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22433-2025</t>
        </is>
      </c>
      <c r="B167" s="1" t="n">
        <v>45786.58278935185</v>
      </c>
      <c r="C167" s="1" t="n">
        <v>45983</v>
      </c>
      <c r="D167" t="inlineStr">
        <is>
          <t>HALLANDS LÄN</t>
        </is>
      </c>
      <c r="E167" t="inlineStr">
        <is>
          <t>HYLTE</t>
        </is>
      </c>
      <c r="G167" t="n">
        <v>2.1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3397-2025</t>
        </is>
      </c>
      <c r="B168" s="1" t="n">
        <v>45680.36707175926</v>
      </c>
      <c r="C168" s="1" t="n">
        <v>45983</v>
      </c>
      <c r="D168" t="inlineStr">
        <is>
          <t>HALLANDS LÄN</t>
        </is>
      </c>
      <c r="E168" t="inlineStr">
        <is>
          <t>HYLTE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52666-2023</t>
        </is>
      </c>
      <c r="B169" s="1" t="n">
        <v>45225.67229166667</v>
      </c>
      <c r="C169" s="1" t="n">
        <v>45983</v>
      </c>
      <c r="D169" t="inlineStr">
        <is>
          <t>HALLANDS LÄN</t>
        </is>
      </c>
      <c r="E169" t="inlineStr">
        <is>
          <t>HYLTE</t>
        </is>
      </c>
      <c r="G169" t="n">
        <v>4.9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47983-2024</t>
        </is>
      </c>
      <c r="B170" s="1" t="n">
        <v>45589.41244212963</v>
      </c>
      <c r="C170" s="1" t="n">
        <v>45983</v>
      </c>
      <c r="D170" t="inlineStr">
        <is>
          <t>HALLANDS LÄN</t>
        </is>
      </c>
      <c r="E170" t="inlineStr">
        <is>
          <t>HYLTE</t>
        </is>
      </c>
      <c r="F170" t="inlineStr">
        <is>
          <t>Kyrkan</t>
        </is>
      </c>
      <c r="G170" t="n">
        <v>1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54818-2024</t>
        </is>
      </c>
      <c r="B171" s="1" t="n">
        <v>45618</v>
      </c>
      <c r="C171" s="1" t="n">
        <v>45983</v>
      </c>
      <c r="D171" t="inlineStr">
        <is>
          <t>HALLANDS LÄN</t>
        </is>
      </c>
      <c r="E171" t="inlineStr">
        <is>
          <t>HYLTE</t>
        </is>
      </c>
      <c r="G171" t="n">
        <v>3.5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22089-2025</t>
        </is>
      </c>
      <c r="B172" s="1" t="n">
        <v>45785.45009259259</v>
      </c>
      <c r="C172" s="1" t="n">
        <v>45983</v>
      </c>
      <c r="D172" t="inlineStr">
        <is>
          <t>HALLANDS LÄN</t>
        </is>
      </c>
      <c r="E172" t="inlineStr">
        <is>
          <t>HYLTE</t>
        </is>
      </c>
      <c r="G172" t="n">
        <v>3.2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21459-2024</t>
        </is>
      </c>
      <c r="B173" s="1" t="n">
        <v>45441.46991898148</v>
      </c>
      <c r="C173" s="1" t="n">
        <v>45983</v>
      </c>
      <c r="D173" t="inlineStr">
        <is>
          <t>HALLANDS LÄN</t>
        </is>
      </c>
      <c r="E173" t="inlineStr">
        <is>
          <t>HYLTE</t>
        </is>
      </c>
      <c r="G173" t="n">
        <v>0.6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59496-2023</t>
        </is>
      </c>
      <c r="B174" s="1" t="n">
        <v>45254.46633101852</v>
      </c>
      <c r="C174" s="1" t="n">
        <v>45983</v>
      </c>
      <c r="D174" t="inlineStr">
        <is>
          <t>HALLANDS LÄN</t>
        </is>
      </c>
      <c r="E174" t="inlineStr">
        <is>
          <t>HYLTE</t>
        </is>
      </c>
      <c r="G174" t="n">
        <v>1.7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59518-2023</t>
        </is>
      </c>
      <c r="B175" s="1" t="n">
        <v>45254.49128472222</v>
      </c>
      <c r="C175" s="1" t="n">
        <v>45983</v>
      </c>
      <c r="D175" t="inlineStr">
        <is>
          <t>HALLANDS LÄN</t>
        </is>
      </c>
      <c r="E175" t="inlineStr">
        <is>
          <t>HYLTE</t>
        </is>
      </c>
      <c r="G175" t="n">
        <v>0.3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32304-2021</t>
        </is>
      </c>
      <c r="B176" s="1" t="n">
        <v>44371.51618055555</v>
      </c>
      <c r="C176" s="1" t="n">
        <v>45983</v>
      </c>
      <c r="D176" t="inlineStr">
        <is>
          <t>HALLANDS LÄN</t>
        </is>
      </c>
      <c r="E176" t="inlineStr">
        <is>
          <t>HYLTE</t>
        </is>
      </c>
      <c r="G176" t="n">
        <v>4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11461-2025</t>
        </is>
      </c>
      <c r="B177" s="1" t="n">
        <v>45726</v>
      </c>
      <c r="C177" s="1" t="n">
        <v>45983</v>
      </c>
      <c r="D177" t="inlineStr">
        <is>
          <t>HALLANDS LÄN</t>
        </is>
      </c>
      <c r="E177" t="inlineStr">
        <is>
          <t>HYLTE</t>
        </is>
      </c>
      <c r="G177" t="n">
        <v>1.7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14486-2025</t>
        </is>
      </c>
      <c r="B178" s="1" t="n">
        <v>45741</v>
      </c>
      <c r="C178" s="1" t="n">
        <v>45983</v>
      </c>
      <c r="D178" t="inlineStr">
        <is>
          <t>HALLANDS LÄN</t>
        </is>
      </c>
      <c r="E178" t="inlineStr">
        <is>
          <t>HYLTE</t>
        </is>
      </c>
      <c r="G178" t="n">
        <v>3.3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16920-2025</t>
        </is>
      </c>
      <c r="B179" s="1" t="n">
        <v>45752</v>
      </c>
      <c r="C179" s="1" t="n">
        <v>45983</v>
      </c>
      <c r="D179" t="inlineStr">
        <is>
          <t>HALLANDS LÄN</t>
        </is>
      </c>
      <c r="E179" t="inlineStr">
        <is>
          <t>HYLTE</t>
        </is>
      </c>
      <c r="F179" t="inlineStr">
        <is>
          <t>Kyrkan</t>
        </is>
      </c>
      <c r="G179" t="n">
        <v>2.9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29488-2024</t>
        </is>
      </c>
      <c r="B180" s="1" t="n">
        <v>45483</v>
      </c>
      <c r="C180" s="1" t="n">
        <v>45983</v>
      </c>
      <c r="D180" t="inlineStr">
        <is>
          <t>HALLANDS LÄN</t>
        </is>
      </c>
      <c r="E180" t="inlineStr">
        <is>
          <t>HYLTE</t>
        </is>
      </c>
      <c r="G180" t="n">
        <v>0.8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52488-2024</t>
        </is>
      </c>
      <c r="B181" s="1" t="n">
        <v>45609</v>
      </c>
      <c r="C181" s="1" t="n">
        <v>45983</v>
      </c>
      <c r="D181" t="inlineStr">
        <is>
          <t>HALLANDS LÄN</t>
        </is>
      </c>
      <c r="E181" t="inlineStr">
        <is>
          <t>HYLTE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12259-2024</t>
        </is>
      </c>
      <c r="B182" s="1" t="n">
        <v>45378.45703703703</v>
      </c>
      <c r="C182" s="1" t="n">
        <v>45983</v>
      </c>
      <c r="D182" t="inlineStr">
        <is>
          <t>HALLANDS LÄN</t>
        </is>
      </c>
      <c r="E182" t="inlineStr">
        <is>
          <t>HYLTE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12608-2024</t>
        </is>
      </c>
      <c r="B183" s="1" t="n">
        <v>45382.61456018518</v>
      </c>
      <c r="C183" s="1" t="n">
        <v>45983</v>
      </c>
      <c r="D183" t="inlineStr">
        <is>
          <t>HALLANDS LÄN</t>
        </is>
      </c>
      <c r="E183" t="inlineStr">
        <is>
          <t>HYLTE</t>
        </is>
      </c>
      <c r="G183" t="n">
        <v>0.5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21088-2023</t>
        </is>
      </c>
      <c r="B184" s="1" t="n">
        <v>45061</v>
      </c>
      <c r="C184" s="1" t="n">
        <v>45983</v>
      </c>
      <c r="D184" t="inlineStr">
        <is>
          <t>HALLANDS LÄN</t>
        </is>
      </c>
      <c r="E184" t="inlineStr">
        <is>
          <t>HYLTE</t>
        </is>
      </c>
      <c r="G184" t="n">
        <v>1.4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28495-2021</t>
        </is>
      </c>
      <c r="B185" s="1" t="n">
        <v>44356.60763888889</v>
      </c>
      <c r="C185" s="1" t="n">
        <v>45983</v>
      </c>
      <c r="D185" t="inlineStr">
        <is>
          <t>HALLANDS LÄN</t>
        </is>
      </c>
      <c r="E185" t="inlineStr">
        <is>
          <t>HYLTE</t>
        </is>
      </c>
      <c r="G185" t="n">
        <v>1.4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22369-2025</t>
        </is>
      </c>
      <c r="B186" s="1" t="n">
        <v>45786.4771412037</v>
      </c>
      <c r="C186" s="1" t="n">
        <v>45983</v>
      </c>
      <c r="D186" t="inlineStr">
        <is>
          <t>HALLANDS LÄN</t>
        </is>
      </c>
      <c r="E186" t="inlineStr">
        <is>
          <t>HYLTE</t>
        </is>
      </c>
      <c r="G186" t="n">
        <v>1.6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29434-2024</t>
        </is>
      </c>
      <c r="B187" s="1" t="n">
        <v>45483</v>
      </c>
      <c r="C187" s="1" t="n">
        <v>45983</v>
      </c>
      <c r="D187" t="inlineStr">
        <is>
          <t>HALLANDS LÄN</t>
        </is>
      </c>
      <c r="E187" t="inlineStr">
        <is>
          <t>HYLTE</t>
        </is>
      </c>
      <c r="G187" t="n">
        <v>3.4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24149-2024</t>
        </is>
      </c>
      <c r="B188" s="1" t="n">
        <v>45456.67369212963</v>
      </c>
      <c r="C188" s="1" t="n">
        <v>45983</v>
      </c>
      <c r="D188" t="inlineStr">
        <is>
          <t>HALLANDS LÄN</t>
        </is>
      </c>
      <c r="E188" t="inlineStr">
        <is>
          <t>HYLTE</t>
        </is>
      </c>
      <c r="G188" t="n">
        <v>1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59130-2023</t>
        </is>
      </c>
      <c r="B189" s="1" t="n">
        <v>45253</v>
      </c>
      <c r="C189" s="1" t="n">
        <v>45983</v>
      </c>
      <c r="D189" t="inlineStr">
        <is>
          <t>HALLANDS LÄN</t>
        </is>
      </c>
      <c r="E189" t="inlineStr">
        <is>
          <t>HYLTE</t>
        </is>
      </c>
      <c r="G189" t="n">
        <v>4.7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23069-2025</t>
        </is>
      </c>
      <c r="B190" s="1" t="n">
        <v>45790.88394675926</v>
      </c>
      <c r="C190" s="1" t="n">
        <v>45983</v>
      </c>
      <c r="D190" t="inlineStr">
        <is>
          <t>HALLANDS LÄN</t>
        </is>
      </c>
      <c r="E190" t="inlineStr">
        <is>
          <t>HYLTE</t>
        </is>
      </c>
      <c r="G190" t="n">
        <v>1.7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31641-2025</t>
        </is>
      </c>
      <c r="B191" s="1" t="n">
        <v>45834.34462962963</v>
      </c>
      <c r="C191" s="1" t="n">
        <v>45983</v>
      </c>
      <c r="D191" t="inlineStr">
        <is>
          <t>HALLANDS LÄN</t>
        </is>
      </c>
      <c r="E191" t="inlineStr">
        <is>
          <t>HYLTE</t>
        </is>
      </c>
      <c r="G191" t="n">
        <v>1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14985-2025</t>
        </is>
      </c>
      <c r="B192" s="1" t="n">
        <v>45743</v>
      </c>
      <c r="C192" s="1" t="n">
        <v>45983</v>
      </c>
      <c r="D192" t="inlineStr">
        <is>
          <t>HALLANDS LÄN</t>
        </is>
      </c>
      <c r="E192" t="inlineStr">
        <is>
          <t>HYLTE</t>
        </is>
      </c>
      <c r="F192" t="inlineStr">
        <is>
          <t>Bergvik skog väst AB</t>
        </is>
      </c>
      <c r="G192" t="n">
        <v>4.2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48217-2024</t>
        </is>
      </c>
      <c r="B193" s="1" t="n">
        <v>45590.35905092592</v>
      </c>
      <c r="C193" s="1" t="n">
        <v>45983</v>
      </c>
      <c r="D193" t="inlineStr">
        <is>
          <t>HALLANDS LÄN</t>
        </is>
      </c>
      <c r="E193" t="inlineStr">
        <is>
          <t>HYLTE</t>
        </is>
      </c>
      <c r="G193" t="n">
        <v>1.6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17937-2025</t>
        </is>
      </c>
      <c r="B194" s="1" t="n">
        <v>45760.48758101852</v>
      </c>
      <c r="C194" s="1" t="n">
        <v>45983</v>
      </c>
      <c r="D194" t="inlineStr">
        <is>
          <t>HALLANDS LÄN</t>
        </is>
      </c>
      <c r="E194" t="inlineStr">
        <is>
          <t>HYLTE</t>
        </is>
      </c>
      <c r="G194" t="n">
        <v>1.9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29708-2025</t>
        </is>
      </c>
      <c r="B195" s="1" t="n">
        <v>45825.56289351852</v>
      </c>
      <c r="C195" s="1" t="n">
        <v>45983</v>
      </c>
      <c r="D195" t="inlineStr">
        <is>
          <t>HALLANDS LÄN</t>
        </is>
      </c>
      <c r="E195" t="inlineStr">
        <is>
          <t>HYLTE</t>
        </is>
      </c>
      <c r="G195" t="n">
        <v>2.1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33208-2025</t>
        </is>
      </c>
      <c r="B196" s="1" t="n">
        <v>45840.62119212963</v>
      </c>
      <c r="C196" s="1" t="n">
        <v>45983</v>
      </c>
      <c r="D196" t="inlineStr">
        <is>
          <t>HALLANDS LÄN</t>
        </is>
      </c>
      <c r="E196" t="inlineStr">
        <is>
          <t>HYLTE</t>
        </is>
      </c>
      <c r="G196" t="n">
        <v>1.4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20741-2024</t>
        </is>
      </c>
      <c r="B197" s="1" t="n">
        <v>45436</v>
      </c>
      <c r="C197" s="1" t="n">
        <v>45983</v>
      </c>
      <c r="D197" t="inlineStr">
        <is>
          <t>HALLANDS LÄN</t>
        </is>
      </c>
      <c r="E197" t="inlineStr">
        <is>
          <t>HYLTE</t>
        </is>
      </c>
      <c r="G197" t="n">
        <v>1.4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15008-2025</t>
        </is>
      </c>
      <c r="B198" s="1" t="n">
        <v>45743</v>
      </c>
      <c r="C198" s="1" t="n">
        <v>45983</v>
      </c>
      <c r="D198" t="inlineStr">
        <is>
          <t>HALLANDS LÄN</t>
        </is>
      </c>
      <c r="E198" t="inlineStr">
        <is>
          <t>HYLTE</t>
        </is>
      </c>
      <c r="F198" t="inlineStr">
        <is>
          <t>Bergvik skog väst AB</t>
        </is>
      </c>
      <c r="G198" t="n">
        <v>3.3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2378-2025</t>
        </is>
      </c>
      <c r="B199" s="1" t="n">
        <v>45673.90599537037</v>
      </c>
      <c r="C199" s="1" t="n">
        <v>45983</v>
      </c>
      <c r="D199" t="inlineStr">
        <is>
          <t>HALLANDS LÄN</t>
        </is>
      </c>
      <c r="E199" t="inlineStr">
        <is>
          <t>HYLTE</t>
        </is>
      </c>
      <c r="G199" t="n">
        <v>6.1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38816-2025</t>
        </is>
      </c>
      <c r="B200" s="1" t="n">
        <v>45887.49594907407</v>
      </c>
      <c r="C200" s="1" t="n">
        <v>45983</v>
      </c>
      <c r="D200" t="inlineStr">
        <is>
          <t>HALLANDS LÄN</t>
        </is>
      </c>
      <c r="E200" t="inlineStr">
        <is>
          <t>HYLTE</t>
        </is>
      </c>
      <c r="G200" t="n">
        <v>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31424-2024</t>
        </is>
      </c>
      <c r="B201" s="1" t="n">
        <v>45505</v>
      </c>
      <c r="C201" s="1" t="n">
        <v>45983</v>
      </c>
      <c r="D201" t="inlineStr">
        <is>
          <t>HALLANDS LÄN</t>
        </is>
      </c>
      <c r="E201" t="inlineStr">
        <is>
          <t>HYLTE</t>
        </is>
      </c>
      <c r="G201" t="n">
        <v>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4529-2025</t>
        </is>
      </c>
      <c r="B202" s="1" t="n">
        <v>45687.32655092593</v>
      </c>
      <c r="C202" s="1" t="n">
        <v>45983</v>
      </c>
      <c r="D202" t="inlineStr">
        <is>
          <t>HALLANDS LÄN</t>
        </is>
      </c>
      <c r="E202" t="inlineStr">
        <is>
          <t>HYLTE</t>
        </is>
      </c>
      <c r="G202" t="n">
        <v>1.4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57016-2021</t>
        </is>
      </c>
      <c r="B203" s="1" t="n">
        <v>44482.49483796296</v>
      </c>
      <c r="C203" s="1" t="n">
        <v>45983</v>
      </c>
      <c r="D203" t="inlineStr">
        <is>
          <t>HALLANDS LÄN</t>
        </is>
      </c>
      <c r="E203" t="inlineStr">
        <is>
          <t>HYLTE</t>
        </is>
      </c>
      <c r="G203" t="n">
        <v>1.6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41345-2024</t>
        </is>
      </c>
      <c r="B204" s="1" t="n">
        <v>45559.67861111111</v>
      </c>
      <c r="C204" s="1" t="n">
        <v>45983</v>
      </c>
      <c r="D204" t="inlineStr">
        <is>
          <t>HALLANDS LÄN</t>
        </is>
      </c>
      <c r="E204" t="inlineStr">
        <is>
          <t>HYLTE</t>
        </is>
      </c>
      <c r="G204" t="n">
        <v>1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3628-2025</t>
        </is>
      </c>
      <c r="B205" s="1" t="n">
        <v>45681.37361111111</v>
      </c>
      <c r="C205" s="1" t="n">
        <v>45983</v>
      </c>
      <c r="D205" t="inlineStr">
        <is>
          <t>HALLANDS LÄN</t>
        </is>
      </c>
      <c r="E205" t="inlineStr">
        <is>
          <t>HYLTE</t>
        </is>
      </c>
      <c r="G205" t="n">
        <v>2.4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14992-2025</t>
        </is>
      </c>
      <c r="B206" s="1" t="n">
        <v>45743</v>
      </c>
      <c r="C206" s="1" t="n">
        <v>45983</v>
      </c>
      <c r="D206" t="inlineStr">
        <is>
          <t>HALLANDS LÄN</t>
        </is>
      </c>
      <c r="E206" t="inlineStr">
        <is>
          <t>HYLTE</t>
        </is>
      </c>
      <c r="F206" t="inlineStr">
        <is>
          <t>Bergvik skog väst AB</t>
        </is>
      </c>
      <c r="G206" t="n">
        <v>3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46947-2022</t>
        </is>
      </c>
      <c r="B207" s="1" t="n">
        <v>44851.88027777777</v>
      </c>
      <c r="C207" s="1" t="n">
        <v>45983</v>
      </c>
      <c r="D207" t="inlineStr">
        <is>
          <t>HALLANDS LÄN</t>
        </is>
      </c>
      <c r="E207" t="inlineStr">
        <is>
          <t>HYLTE</t>
        </is>
      </c>
      <c r="G207" t="n">
        <v>2.4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39653-2025</t>
        </is>
      </c>
      <c r="B208" s="1" t="n">
        <v>45890.61922453704</v>
      </c>
      <c r="C208" s="1" t="n">
        <v>45983</v>
      </c>
      <c r="D208" t="inlineStr">
        <is>
          <t>HALLANDS LÄN</t>
        </is>
      </c>
      <c r="E208" t="inlineStr">
        <is>
          <t>HYLTE</t>
        </is>
      </c>
      <c r="G208" t="n">
        <v>2.3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27627-2023</t>
        </is>
      </c>
      <c r="B209" s="1" t="n">
        <v>45097</v>
      </c>
      <c r="C209" s="1" t="n">
        <v>45983</v>
      </c>
      <c r="D209" t="inlineStr">
        <is>
          <t>HALLANDS LÄN</t>
        </is>
      </c>
      <c r="E209" t="inlineStr">
        <is>
          <t>HYLTE</t>
        </is>
      </c>
      <c r="G209" t="n">
        <v>1.8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39341-2025</t>
        </is>
      </c>
      <c r="B210" s="1" t="n">
        <v>45889.51666666667</v>
      </c>
      <c r="C210" s="1" t="n">
        <v>45983</v>
      </c>
      <c r="D210" t="inlineStr">
        <is>
          <t>HALLANDS LÄN</t>
        </is>
      </c>
      <c r="E210" t="inlineStr">
        <is>
          <t>HYLTE</t>
        </is>
      </c>
      <c r="G210" t="n">
        <v>1.6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23752-2025</t>
        </is>
      </c>
      <c r="B211" s="1" t="n">
        <v>45793.45373842592</v>
      </c>
      <c r="C211" s="1" t="n">
        <v>45983</v>
      </c>
      <c r="D211" t="inlineStr">
        <is>
          <t>HALLANDS LÄN</t>
        </is>
      </c>
      <c r="E211" t="inlineStr">
        <is>
          <t>HYLTE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39595-2025</t>
        </is>
      </c>
      <c r="B212" s="1" t="n">
        <v>45890.53888888889</v>
      </c>
      <c r="C212" s="1" t="n">
        <v>45983</v>
      </c>
      <c r="D212" t="inlineStr">
        <is>
          <t>HALLANDS LÄN</t>
        </is>
      </c>
      <c r="E212" t="inlineStr">
        <is>
          <t>HYLTE</t>
        </is>
      </c>
      <c r="G212" t="n">
        <v>7.6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15846-2025</t>
        </is>
      </c>
      <c r="B213" s="1" t="n">
        <v>45748.9025</v>
      </c>
      <c r="C213" s="1" t="n">
        <v>45983</v>
      </c>
      <c r="D213" t="inlineStr">
        <is>
          <t>HALLANDS LÄN</t>
        </is>
      </c>
      <c r="E213" t="inlineStr">
        <is>
          <t>HYLTE</t>
        </is>
      </c>
      <c r="G213" t="n">
        <v>2.8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33952-2021</t>
        </is>
      </c>
      <c r="B214" s="1" t="n">
        <v>44378</v>
      </c>
      <c r="C214" s="1" t="n">
        <v>45983</v>
      </c>
      <c r="D214" t="inlineStr">
        <is>
          <t>HALLANDS LÄN</t>
        </is>
      </c>
      <c r="E214" t="inlineStr">
        <is>
          <t>HYLTE</t>
        </is>
      </c>
      <c r="G214" t="n">
        <v>8.6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28541-2024</t>
        </is>
      </c>
      <c r="B215" s="1" t="n">
        <v>45478.34775462963</v>
      </c>
      <c r="C215" s="1" t="n">
        <v>45983</v>
      </c>
      <c r="D215" t="inlineStr">
        <is>
          <t>HALLANDS LÄN</t>
        </is>
      </c>
      <c r="E215" t="inlineStr">
        <is>
          <t>HYLTE</t>
        </is>
      </c>
      <c r="G215" t="n">
        <v>1.6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55750-2021</t>
        </is>
      </c>
      <c r="B216" s="1" t="n">
        <v>44476.50186342592</v>
      </c>
      <c r="C216" s="1" t="n">
        <v>45983</v>
      </c>
      <c r="D216" t="inlineStr">
        <is>
          <t>HALLANDS LÄN</t>
        </is>
      </c>
      <c r="E216" t="inlineStr">
        <is>
          <t>HYLTE</t>
        </is>
      </c>
      <c r="G216" t="n">
        <v>0.8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39991-2025</t>
        </is>
      </c>
      <c r="B217" s="1" t="n">
        <v>45891</v>
      </c>
      <c r="C217" s="1" t="n">
        <v>45983</v>
      </c>
      <c r="D217" t="inlineStr">
        <is>
          <t>HALLANDS LÄN</t>
        </is>
      </c>
      <c r="E217" t="inlineStr">
        <is>
          <t>HYLTE</t>
        </is>
      </c>
      <c r="F217" t="inlineStr">
        <is>
          <t>Kyrkan</t>
        </is>
      </c>
      <c r="G217" t="n">
        <v>5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39992-2025</t>
        </is>
      </c>
      <c r="B218" s="1" t="n">
        <v>45891</v>
      </c>
      <c r="C218" s="1" t="n">
        <v>45983</v>
      </c>
      <c r="D218" t="inlineStr">
        <is>
          <t>HALLANDS LÄN</t>
        </is>
      </c>
      <c r="E218" t="inlineStr">
        <is>
          <t>HYLTE</t>
        </is>
      </c>
      <c r="F218" t="inlineStr">
        <is>
          <t>Kyrkan</t>
        </is>
      </c>
      <c r="G218" t="n">
        <v>1.2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50345-2024</t>
        </is>
      </c>
      <c r="B219" s="1" t="n">
        <v>45600</v>
      </c>
      <c r="C219" s="1" t="n">
        <v>45983</v>
      </c>
      <c r="D219" t="inlineStr">
        <is>
          <t>HALLANDS LÄN</t>
        </is>
      </c>
      <c r="E219" t="inlineStr">
        <is>
          <t>HYLTE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60211-2021</t>
        </is>
      </c>
      <c r="B220" s="1" t="n">
        <v>44495.58530092592</v>
      </c>
      <c r="C220" s="1" t="n">
        <v>45983</v>
      </c>
      <c r="D220" t="inlineStr">
        <is>
          <t>HALLANDS LÄN</t>
        </is>
      </c>
      <c r="E220" t="inlineStr">
        <is>
          <t>HYLTE</t>
        </is>
      </c>
      <c r="G220" t="n">
        <v>5.1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58051-2021</t>
        </is>
      </c>
      <c r="B221" s="1" t="n">
        <v>44487</v>
      </c>
      <c r="C221" s="1" t="n">
        <v>45983</v>
      </c>
      <c r="D221" t="inlineStr">
        <is>
          <t>HALLANDS LÄN</t>
        </is>
      </c>
      <c r="E221" t="inlineStr">
        <is>
          <t>HYLTE</t>
        </is>
      </c>
      <c r="F221" t="inlineStr">
        <is>
          <t>Bergvik skog väst AB</t>
        </is>
      </c>
      <c r="G221" t="n">
        <v>3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38243-2021</t>
        </is>
      </c>
      <c r="B222" s="1" t="n">
        <v>44405.6525</v>
      </c>
      <c r="C222" s="1" t="n">
        <v>45983</v>
      </c>
      <c r="D222" t="inlineStr">
        <is>
          <t>HALLANDS LÄN</t>
        </is>
      </c>
      <c r="E222" t="inlineStr">
        <is>
          <t>HYLTE</t>
        </is>
      </c>
      <c r="G222" t="n">
        <v>7.5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3621-2023</t>
        </is>
      </c>
      <c r="B223" s="1" t="n">
        <v>44950.63775462963</v>
      </c>
      <c r="C223" s="1" t="n">
        <v>45983</v>
      </c>
      <c r="D223" t="inlineStr">
        <is>
          <t>HALLANDS LÄN</t>
        </is>
      </c>
      <c r="E223" t="inlineStr">
        <is>
          <t>HYLTE</t>
        </is>
      </c>
      <c r="G223" t="n">
        <v>1.2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651-2024</t>
        </is>
      </c>
      <c r="B224" s="1" t="n">
        <v>45299</v>
      </c>
      <c r="C224" s="1" t="n">
        <v>45983</v>
      </c>
      <c r="D224" t="inlineStr">
        <is>
          <t>HALLANDS LÄN</t>
        </is>
      </c>
      <c r="E224" t="inlineStr">
        <is>
          <t>HYLTE</t>
        </is>
      </c>
      <c r="G224" t="n">
        <v>0.5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39718-2025</t>
        </is>
      </c>
      <c r="B225" s="1" t="n">
        <v>45891</v>
      </c>
      <c r="C225" s="1" t="n">
        <v>45983</v>
      </c>
      <c r="D225" t="inlineStr">
        <is>
          <t>HALLANDS LÄN</t>
        </is>
      </c>
      <c r="E225" t="inlineStr">
        <is>
          <t>HYLTE</t>
        </is>
      </c>
      <c r="G225" t="n">
        <v>13.5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40975-2025</t>
        </is>
      </c>
      <c r="B226" s="1" t="n">
        <v>45897.90677083333</v>
      </c>
      <c r="C226" s="1" t="n">
        <v>45983</v>
      </c>
      <c r="D226" t="inlineStr">
        <is>
          <t>HALLANDS LÄN</t>
        </is>
      </c>
      <c r="E226" t="inlineStr">
        <is>
          <t>HYLTE</t>
        </is>
      </c>
      <c r="G226" t="n">
        <v>2.7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40976-2025</t>
        </is>
      </c>
      <c r="B227" s="1" t="n">
        <v>45897.90869212963</v>
      </c>
      <c r="C227" s="1" t="n">
        <v>45983</v>
      </c>
      <c r="D227" t="inlineStr">
        <is>
          <t>HALLANDS LÄN</t>
        </is>
      </c>
      <c r="E227" t="inlineStr">
        <is>
          <t>HYLTE</t>
        </is>
      </c>
      <c r="G227" t="n">
        <v>2.5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8293-2024</t>
        </is>
      </c>
      <c r="B228" s="1" t="n">
        <v>45352.42900462963</v>
      </c>
      <c r="C228" s="1" t="n">
        <v>45983</v>
      </c>
      <c r="D228" t="inlineStr">
        <is>
          <t>HALLANDS LÄN</t>
        </is>
      </c>
      <c r="E228" t="inlineStr">
        <is>
          <t>HYLTE</t>
        </is>
      </c>
      <c r="G228" t="n">
        <v>0.7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51150-2022</t>
        </is>
      </c>
      <c r="B229" s="1" t="n">
        <v>44865</v>
      </c>
      <c r="C229" s="1" t="n">
        <v>45983</v>
      </c>
      <c r="D229" t="inlineStr">
        <is>
          <t>HALLANDS LÄN</t>
        </is>
      </c>
      <c r="E229" t="inlineStr">
        <is>
          <t>HYLTE</t>
        </is>
      </c>
      <c r="G229" t="n">
        <v>3.4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49983-2025</t>
        </is>
      </c>
      <c r="B230" s="1" t="n">
        <v>45942.69231481481</v>
      </c>
      <c r="C230" s="1" t="n">
        <v>45983</v>
      </c>
      <c r="D230" t="inlineStr">
        <is>
          <t>HALLANDS LÄN</t>
        </is>
      </c>
      <c r="E230" t="inlineStr">
        <is>
          <t>HYLTE</t>
        </is>
      </c>
      <c r="G230" t="n">
        <v>0.7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8305-2024</t>
        </is>
      </c>
      <c r="B231" s="1" t="n">
        <v>45352</v>
      </c>
      <c r="C231" s="1" t="n">
        <v>45983</v>
      </c>
      <c r="D231" t="inlineStr">
        <is>
          <t>HALLANDS LÄN</t>
        </is>
      </c>
      <c r="E231" t="inlineStr">
        <is>
          <t>HYLTE</t>
        </is>
      </c>
      <c r="G231" t="n">
        <v>0.7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56422-2021</t>
        </is>
      </c>
      <c r="B232" s="1" t="n">
        <v>44477</v>
      </c>
      <c r="C232" s="1" t="n">
        <v>45983</v>
      </c>
      <c r="D232" t="inlineStr">
        <is>
          <t>HALLANDS LÄN</t>
        </is>
      </c>
      <c r="E232" t="inlineStr">
        <is>
          <t>HYLTE</t>
        </is>
      </c>
      <c r="G232" t="n">
        <v>2.3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53584-2021</t>
        </is>
      </c>
      <c r="B233" s="1" t="n">
        <v>44469.33966435185</v>
      </c>
      <c r="C233" s="1" t="n">
        <v>45983</v>
      </c>
      <c r="D233" t="inlineStr">
        <is>
          <t>HALLANDS LÄN</t>
        </is>
      </c>
      <c r="E233" t="inlineStr">
        <is>
          <t>HYLTE</t>
        </is>
      </c>
      <c r="G233" t="n">
        <v>2.1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32906-2025</t>
        </is>
      </c>
      <c r="B234" s="1" t="n">
        <v>45839</v>
      </c>
      <c r="C234" s="1" t="n">
        <v>45983</v>
      </c>
      <c r="D234" t="inlineStr">
        <is>
          <t>HALLANDS LÄN</t>
        </is>
      </c>
      <c r="E234" t="inlineStr">
        <is>
          <t>HYLTE</t>
        </is>
      </c>
      <c r="G234" t="n">
        <v>4.3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33643-2025</t>
        </is>
      </c>
      <c r="B235" s="1" t="n">
        <v>45841.65174768519</v>
      </c>
      <c r="C235" s="1" t="n">
        <v>45983</v>
      </c>
      <c r="D235" t="inlineStr">
        <is>
          <t>HALLANDS LÄN</t>
        </is>
      </c>
      <c r="E235" t="inlineStr">
        <is>
          <t>HYLTE</t>
        </is>
      </c>
      <c r="G235" t="n">
        <v>4.5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26275-2021</t>
        </is>
      </c>
      <c r="B236" s="1" t="n">
        <v>44347.52184027778</v>
      </c>
      <c r="C236" s="1" t="n">
        <v>45983</v>
      </c>
      <c r="D236" t="inlineStr">
        <is>
          <t>HALLANDS LÄN</t>
        </is>
      </c>
      <c r="E236" t="inlineStr">
        <is>
          <t>HYLTE</t>
        </is>
      </c>
      <c r="G236" t="n">
        <v>2.7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43366-2022</t>
        </is>
      </c>
      <c r="B237" s="1" t="n">
        <v>44834.64751157408</v>
      </c>
      <c r="C237" s="1" t="n">
        <v>45983</v>
      </c>
      <c r="D237" t="inlineStr">
        <is>
          <t>HALLANDS LÄN</t>
        </is>
      </c>
      <c r="E237" t="inlineStr">
        <is>
          <t>HYLTE</t>
        </is>
      </c>
      <c r="G237" t="n">
        <v>1.1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41322-2025</t>
        </is>
      </c>
      <c r="B238" s="1" t="n">
        <v>45898.93831018519</v>
      </c>
      <c r="C238" s="1" t="n">
        <v>45983</v>
      </c>
      <c r="D238" t="inlineStr">
        <is>
          <t>HALLANDS LÄN</t>
        </is>
      </c>
      <c r="E238" t="inlineStr">
        <is>
          <t>HYLTE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26360-2025</t>
        </is>
      </c>
      <c r="B239" s="1" t="n">
        <v>45806.27275462963</v>
      </c>
      <c r="C239" s="1" t="n">
        <v>45983</v>
      </c>
      <c r="D239" t="inlineStr">
        <is>
          <t>HALLANDS LÄN</t>
        </is>
      </c>
      <c r="E239" t="inlineStr">
        <is>
          <t>HYLTE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26359-2025</t>
        </is>
      </c>
      <c r="B240" s="1" t="n">
        <v>45806.2697800926</v>
      </c>
      <c r="C240" s="1" t="n">
        <v>45983</v>
      </c>
      <c r="D240" t="inlineStr">
        <is>
          <t>HALLANDS LÄN</t>
        </is>
      </c>
      <c r="E240" t="inlineStr">
        <is>
          <t>HYLTE</t>
        </is>
      </c>
      <c r="G240" t="n">
        <v>1.8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50632-2025</t>
        </is>
      </c>
      <c r="B241" s="1" t="n">
        <v>45945.64885416667</v>
      </c>
      <c r="C241" s="1" t="n">
        <v>45983</v>
      </c>
      <c r="D241" t="inlineStr">
        <is>
          <t>HALLANDS LÄN</t>
        </is>
      </c>
      <c r="E241" t="inlineStr">
        <is>
          <t>HYLTE</t>
        </is>
      </c>
      <c r="G241" t="n">
        <v>1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50583-2025</t>
        </is>
      </c>
      <c r="B242" s="1" t="n">
        <v>45944</v>
      </c>
      <c r="C242" s="1" t="n">
        <v>45983</v>
      </c>
      <c r="D242" t="inlineStr">
        <is>
          <t>HALLANDS LÄN</t>
        </is>
      </c>
      <c r="E242" t="inlineStr">
        <is>
          <t>HYLTE</t>
        </is>
      </c>
      <c r="G242" t="n">
        <v>0.8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50593-2025</t>
        </is>
      </c>
      <c r="B243" s="1" t="n">
        <v>45944</v>
      </c>
      <c r="C243" s="1" t="n">
        <v>45983</v>
      </c>
      <c r="D243" t="inlineStr">
        <is>
          <t>HALLANDS LÄN</t>
        </is>
      </c>
      <c r="E243" t="inlineStr">
        <is>
          <t>HYLTE</t>
        </is>
      </c>
      <c r="G243" t="n">
        <v>0.9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50599-2025</t>
        </is>
      </c>
      <c r="B244" s="1" t="n">
        <v>45944</v>
      </c>
      <c r="C244" s="1" t="n">
        <v>45983</v>
      </c>
      <c r="D244" t="inlineStr">
        <is>
          <t>HALLANDS LÄN</t>
        </is>
      </c>
      <c r="E244" t="inlineStr">
        <is>
          <t>HYLTE</t>
        </is>
      </c>
      <c r="G244" t="n">
        <v>4.4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57422-2022</t>
        </is>
      </c>
      <c r="B245" s="1" t="n">
        <v>44896.50399305556</v>
      </c>
      <c r="C245" s="1" t="n">
        <v>45983</v>
      </c>
      <c r="D245" t="inlineStr">
        <is>
          <t>HALLANDS LÄN</t>
        </is>
      </c>
      <c r="E245" t="inlineStr">
        <is>
          <t>HYLTE</t>
        </is>
      </c>
      <c r="G245" t="n">
        <v>0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652-2024</t>
        </is>
      </c>
      <c r="B246" s="1" t="n">
        <v>45299</v>
      </c>
      <c r="C246" s="1" t="n">
        <v>45983</v>
      </c>
      <c r="D246" t="inlineStr">
        <is>
          <t>HALLANDS LÄN</t>
        </is>
      </c>
      <c r="E246" t="inlineStr">
        <is>
          <t>HYLTE</t>
        </is>
      </c>
      <c r="G246" t="n">
        <v>2.5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50608-2025</t>
        </is>
      </c>
      <c r="B247" s="1" t="n">
        <v>45944</v>
      </c>
      <c r="C247" s="1" t="n">
        <v>45983</v>
      </c>
      <c r="D247" t="inlineStr">
        <is>
          <t>HALLANDS LÄN</t>
        </is>
      </c>
      <c r="E247" t="inlineStr">
        <is>
          <t>HYLTE</t>
        </is>
      </c>
      <c r="G247" t="n">
        <v>3.4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52625-2024</t>
        </is>
      </c>
      <c r="B248" s="1" t="n">
        <v>45609.90935185185</v>
      </c>
      <c r="C248" s="1" t="n">
        <v>45983</v>
      </c>
      <c r="D248" t="inlineStr">
        <is>
          <t>HALLANDS LÄN</t>
        </is>
      </c>
      <c r="E248" t="inlineStr">
        <is>
          <t>HYLTE</t>
        </is>
      </c>
      <c r="G248" t="n">
        <v>2.6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42168-2025</t>
        </is>
      </c>
      <c r="B249" s="1" t="n">
        <v>45904.42685185185</v>
      </c>
      <c r="C249" s="1" t="n">
        <v>45983</v>
      </c>
      <c r="D249" t="inlineStr">
        <is>
          <t>HALLANDS LÄN</t>
        </is>
      </c>
      <c r="E249" t="inlineStr">
        <is>
          <t>HYLTE</t>
        </is>
      </c>
      <c r="G249" t="n">
        <v>2.1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19513-2024</t>
        </is>
      </c>
      <c r="B250" s="1" t="n">
        <v>45429.61027777778</v>
      </c>
      <c r="C250" s="1" t="n">
        <v>45983</v>
      </c>
      <c r="D250" t="inlineStr">
        <is>
          <t>HALLANDS LÄN</t>
        </is>
      </c>
      <c r="E250" t="inlineStr">
        <is>
          <t>HYLTE</t>
        </is>
      </c>
      <c r="G250" t="n">
        <v>1.4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8128-2024</t>
        </is>
      </c>
      <c r="B251" s="1" t="n">
        <v>45351.53387731482</v>
      </c>
      <c r="C251" s="1" t="n">
        <v>45983</v>
      </c>
      <c r="D251" t="inlineStr">
        <is>
          <t>HALLANDS LÄN</t>
        </is>
      </c>
      <c r="E251" t="inlineStr">
        <is>
          <t>HYLTE</t>
        </is>
      </c>
      <c r="G251" t="n">
        <v>0.6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27238-2025</t>
        </is>
      </c>
      <c r="B252" s="1" t="n">
        <v>45812.44835648148</v>
      </c>
      <c r="C252" s="1" t="n">
        <v>45983</v>
      </c>
      <c r="D252" t="inlineStr">
        <is>
          <t>HALLANDS LÄN</t>
        </is>
      </c>
      <c r="E252" t="inlineStr">
        <is>
          <t>HYLTE</t>
        </is>
      </c>
      <c r="G252" t="n">
        <v>0.6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27276-2025</t>
        </is>
      </c>
      <c r="B253" s="1" t="n">
        <v>45812.52005787037</v>
      </c>
      <c r="C253" s="1" t="n">
        <v>45983</v>
      </c>
      <c r="D253" t="inlineStr">
        <is>
          <t>HALLANDS LÄN</t>
        </is>
      </c>
      <c r="E253" t="inlineStr">
        <is>
          <t>HYLTE</t>
        </is>
      </c>
      <c r="G253" t="n">
        <v>2.1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27244-2025</t>
        </is>
      </c>
      <c r="B254" s="1" t="n">
        <v>45812.461875</v>
      </c>
      <c r="C254" s="1" t="n">
        <v>45983</v>
      </c>
      <c r="D254" t="inlineStr">
        <is>
          <t>HALLANDS LÄN</t>
        </is>
      </c>
      <c r="E254" t="inlineStr">
        <is>
          <t>HYLTE</t>
        </is>
      </c>
      <c r="G254" t="n">
        <v>1.5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27171-2025</t>
        </is>
      </c>
      <c r="B255" s="1" t="n">
        <v>45812.34607638889</v>
      </c>
      <c r="C255" s="1" t="n">
        <v>45983</v>
      </c>
      <c r="D255" t="inlineStr">
        <is>
          <t>HALLANDS LÄN</t>
        </is>
      </c>
      <c r="E255" t="inlineStr">
        <is>
          <t>HYLTE</t>
        </is>
      </c>
      <c r="G255" t="n">
        <v>2.4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27235-2025</t>
        </is>
      </c>
      <c r="B256" s="1" t="n">
        <v>45812.44450231481</v>
      </c>
      <c r="C256" s="1" t="n">
        <v>45983</v>
      </c>
      <c r="D256" t="inlineStr">
        <is>
          <t>HALLANDS LÄN</t>
        </is>
      </c>
      <c r="E256" t="inlineStr">
        <is>
          <t>HYLTE</t>
        </is>
      </c>
      <c r="G256" t="n">
        <v>0.9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58841-2021</t>
        </is>
      </c>
      <c r="B257" s="1" t="n">
        <v>44489</v>
      </c>
      <c r="C257" s="1" t="n">
        <v>45983</v>
      </c>
      <c r="D257" t="inlineStr">
        <is>
          <t>HALLANDS LÄN</t>
        </is>
      </c>
      <c r="E257" t="inlineStr">
        <is>
          <t>HYLTE</t>
        </is>
      </c>
      <c r="G257" t="n">
        <v>2.1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42582-2025</t>
        </is>
      </c>
      <c r="B258" s="1" t="n">
        <v>45905</v>
      </c>
      <c r="C258" s="1" t="n">
        <v>45983</v>
      </c>
      <c r="D258" t="inlineStr">
        <is>
          <t>HALLANDS LÄN</t>
        </is>
      </c>
      <c r="E258" t="inlineStr">
        <is>
          <t>HYLTE</t>
        </is>
      </c>
      <c r="G258" t="n">
        <v>2.9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42647-2025</t>
        </is>
      </c>
      <c r="B259" s="1" t="n">
        <v>45906.50572916667</v>
      </c>
      <c r="C259" s="1" t="n">
        <v>45983</v>
      </c>
      <c r="D259" t="inlineStr">
        <is>
          <t>HALLANDS LÄN</t>
        </is>
      </c>
      <c r="E259" t="inlineStr">
        <is>
          <t>HYLTE</t>
        </is>
      </c>
      <c r="G259" t="n">
        <v>5.3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10531-2024</t>
        </is>
      </c>
      <c r="B260" s="1" t="n">
        <v>45366.54407407407</v>
      </c>
      <c r="C260" s="1" t="n">
        <v>45983</v>
      </c>
      <c r="D260" t="inlineStr">
        <is>
          <t>HALLANDS LÄN</t>
        </is>
      </c>
      <c r="E260" t="inlineStr">
        <is>
          <t>HYLTE</t>
        </is>
      </c>
      <c r="G260" t="n">
        <v>3.4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36801-2024</t>
        </is>
      </c>
      <c r="B261" s="1" t="n">
        <v>45538</v>
      </c>
      <c r="C261" s="1" t="n">
        <v>45983</v>
      </c>
      <c r="D261" t="inlineStr">
        <is>
          <t>HALLANDS LÄN</t>
        </is>
      </c>
      <c r="E261" t="inlineStr">
        <is>
          <t>HYLTE</t>
        </is>
      </c>
      <c r="G261" t="n">
        <v>2.9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41067-2024</t>
        </is>
      </c>
      <c r="B262" s="1" t="n">
        <v>45558</v>
      </c>
      <c r="C262" s="1" t="n">
        <v>45983</v>
      </c>
      <c r="D262" t="inlineStr">
        <is>
          <t>HALLANDS LÄN</t>
        </is>
      </c>
      <c r="E262" t="inlineStr">
        <is>
          <t>HYLTE</t>
        </is>
      </c>
      <c r="G262" t="n">
        <v>2.7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60596-2024</t>
        </is>
      </c>
      <c r="B263" s="1" t="n">
        <v>45642</v>
      </c>
      <c r="C263" s="1" t="n">
        <v>45983</v>
      </c>
      <c r="D263" t="inlineStr">
        <is>
          <t>HALLANDS LÄN</t>
        </is>
      </c>
      <c r="E263" t="inlineStr">
        <is>
          <t>HYLTE</t>
        </is>
      </c>
      <c r="G263" t="n">
        <v>1.1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12548-2025</t>
        </is>
      </c>
      <c r="B264" s="1" t="n">
        <v>45730.94172453704</v>
      </c>
      <c r="C264" s="1" t="n">
        <v>45983</v>
      </c>
      <c r="D264" t="inlineStr">
        <is>
          <t>HALLANDS LÄN</t>
        </is>
      </c>
      <c r="E264" t="inlineStr">
        <is>
          <t>HYLTE</t>
        </is>
      </c>
      <c r="G264" t="n">
        <v>2.9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5839-2025</t>
        </is>
      </c>
      <c r="B265" s="1" t="n">
        <v>45694.96034722222</v>
      </c>
      <c r="C265" s="1" t="n">
        <v>45983</v>
      </c>
      <c r="D265" t="inlineStr">
        <is>
          <t>HALLANDS LÄN</t>
        </is>
      </c>
      <c r="E265" t="inlineStr">
        <is>
          <t>HYLTE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42648-2025</t>
        </is>
      </c>
      <c r="B266" s="1" t="n">
        <v>45906.50864583333</v>
      </c>
      <c r="C266" s="1" t="n">
        <v>45983</v>
      </c>
      <c r="D266" t="inlineStr">
        <is>
          <t>HALLANDS LÄN</t>
        </is>
      </c>
      <c r="E266" t="inlineStr">
        <is>
          <t>HYLTE</t>
        </is>
      </c>
      <c r="G266" t="n">
        <v>1.3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49914-2024</t>
        </is>
      </c>
      <c r="B267" s="1" t="n">
        <v>45597.56563657407</v>
      </c>
      <c r="C267" s="1" t="n">
        <v>45983</v>
      </c>
      <c r="D267" t="inlineStr">
        <is>
          <t>HALLANDS LÄN</t>
        </is>
      </c>
      <c r="E267" t="inlineStr">
        <is>
          <t>HYLTE</t>
        </is>
      </c>
      <c r="G267" t="n">
        <v>2.1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8185-2025</t>
        </is>
      </c>
      <c r="B268" s="1" t="n">
        <v>45708.39929398148</v>
      </c>
      <c r="C268" s="1" t="n">
        <v>45983</v>
      </c>
      <c r="D268" t="inlineStr">
        <is>
          <t>HALLANDS LÄN</t>
        </is>
      </c>
      <c r="E268" t="inlineStr">
        <is>
          <t>HYLTE</t>
        </is>
      </c>
      <c r="G268" t="n">
        <v>1.9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13516-2024</t>
        </is>
      </c>
      <c r="B269" s="1" t="n">
        <v>45387</v>
      </c>
      <c r="C269" s="1" t="n">
        <v>45983</v>
      </c>
      <c r="D269" t="inlineStr">
        <is>
          <t>HALLANDS LÄN</t>
        </is>
      </c>
      <c r="E269" t="inlineStr">
        <is>
          <t>HYLTE</t>
        </is>
      </c>
      <c r="G269" t="n">
        <v>11.1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54411-2024</t>
        </is>
      </c>
      <c r="B270" s="1" t="n">
        <v>45617.47813657407</v>
      </c>
      <c r="C270" s="1" t="n">
        <v>45983</v>
      </c>
      <c r="D270" t="inlineStr">
        <is>
          <t>HALLANDS LÄN</t>
        </is>
      </c>
      <c r="E270" t="inlineStr">
        <is>
          <t>HYLTE</t>
        </is>
      </c>
      <c r="G270" t="n">
        <v>3.9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27891-2025</t>
        </is>
      </c>
      <c r="B271" s="1" t="n">
        <v>45817.46157407408</v>
      </c>
      <c r="C271" s="1" t="n">
        <v>45983</v>
      </c>
      <c r="D271" t="inlineStr">
        <is>
          <t>HALLANDS LÄN</t>
        </is>
      </c>
      <c r="E271" t="inlineStr">
        <is>
          <t>HYLTE</t>
        </is>
      </c>
      <c r="G271" t="n">
        <v>1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1798-2025</t>
        </is>
      </c>
      <c r="B272" s="1" t="n">
        <v>45671.46665509259</v>
      </c>
      <c r="C272" s="1" t="n">
        <v>45983</v>
      </c>
      <c r="D272" t="inlineStr">
        <is>
          <t>HALLANDS LÄN</t>
        </is>
      </c>
      <c r="E272" t="inlineStr">
        <is>
          <t>HYLTE</t>
        </is>
      </c>
      <c r="G272" t="n">
        <v>1.4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28068-2025</t>
        </is>
      </c>
      <c r="B273" s="1" t="n">
        <v>45817</v>
      </c>
      <c r="C273" s="1" t="n">
        <v>45983</v>
      </c>
      <c r="D273" t="inlineStr">
        <is>
          <t>HALLANDS LÄN</t>
        </is>
      </c>
      <c r="E273" t="inlineStr">
        <is>
          <t>HYLTE</t>
        </is>
      </c>
      <c r="G273" t="n">
        <v>1.4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28060-2025</t>
        </is>
      </c>
      <c r="B274" s="1" t="n">
        <v>45817</v>
      </c>
      <c r="C274" s="1" t="n">
        <v>45983</v>
      </c>
      <c r="D274" t="inlineStr">
        <is>
          <t>HALLANDS LÄN</t>
        </is>
      </c>
      <c r="E274" t="inlineStr">
        <is>
          <t>HYLTE</t>
        </is>
      </c>
      <c r="G274" t="n">
        <v>3.9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7783-2025</t>
        </is>
      </c>
      <c r="B275" s="1" t="n">
        <v>45706.58739583333</v>
      </c>
      <c r="C275" s="1" t="n">
        <v>45983</v>
      </c>
      <c r="D275" t="inlineStr">
        <is>
          <t>HALLANDS LÄN</t>
        </is>
      </c>
      <c r="E275" t="inlineStr">
        <is>
          <t>HYLTE</t>
        </is>
      </c>
      <c r="G275" t="n">
        <v>3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28881-2025</t>
        </is>
      </c>
      <c r="B276" s="1" t="n">
        <v>45820.62440972222</v>
      </c>
      <c r="C276" s="1" t="n">
        <v>45983</v>
      </c>
      <c r="D276" t="inlineStr">
        <is>
          <t>HALLANDS LÄN</t>
        </is>
      </c>
      <c r="E276" t="inlineStr">
        <is>
          <t>HYLTE</t>
        </is>
      </c>
      <c r="G276" t="n">
        <v>1.1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41065-2024</t>
        </is>
      </c>
      <c r="B277" s="1" t="n">
        <v>45558</v>
      </c>
      <c r="C277" s="1" t="n">
        <v>45983</v>
      </c>
      <c r="D277" t="inlineStr">
        <is>
          <t>HALLANDS LÄN</t>
        </is>
      </c>
      <c r="E277" t="inlineStr">
        <is>
          <t>HYLTE</t>
        </is>
      </c>
      <c r="G277" t="n">
        <v>1.1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43244-2025</t>
        </is>
      </c>
      <c r="B278" s="1" t="n">
        <v>45910.54612268518</v>
      </c>
      <c r="C278" s="1" t="n">
        <v>45983</v>
      </c>
      <c r="D278" t="inlineStr">
        <is>
          <t>HALLANDS LÄN</t>
        </is>
      </c>
      <c r="E278" t="inlineStr">
        <is>
          <t>HYLTE</t>
        </is>
      </c>
      <c r="G278" t="n">
        <v>0.5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57966-2022</t>
        </is>
      </c>
      <c r="B279" s="1" t="n">
        <v>44900.43803240741</v>
      </c>
      <c r="C279" s="1" t="n">
        <v>45983</v>
      </c>
      <c r="D279" t="inlineStr">
        <is>
          <t>HALLANDS LÄN</t>
        </is>
      </c>
      <c r="E279" t="inlineStr">
        <is>
          <t>HYLTE</t>
        </is>
      </c>
      <c r="G279" t="n">
        <v>3.5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43346-2025</t>
        </is>
      </c>
      <c r="B280" s="1" t="n">
        <v>45910.88354166667</v>
      </c>
      <c r="C280" s="1" t="n">
        <v>45983</v>
      </c>
      <c r="D280" t="inlineStr">
        <is>
          <t>HALLANDS LÄN</t>
        </is>
      </c>
      <c r="E280" t="inlineStr">
        <is>
          <t>HYLTE</t>
        </is>
      </c>
      <c r="G280" t="n">
        <v>2.7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29713-2025</t>
        </is>
      </c>
      <c r="B281" s="1" t="n">
        <v>45825.56527777778</v>
      </c>
      <c r="C281" s="1" t="n">
        <v>45983</v>
      </c>
      <c r="D281" t="inlineStr">
        <is>
          <t>HALLANDS LÄN</t>
        </is>
      </c>
      <c r="E281" t="inlineStr">
        <is>
          <t>HYLTE</t>
        </is>
      </c>
      <c r="G281" t="n">
        <v>0.3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31301-2025</t>
        </is>
      </c>
      <c r="B282" s="1" t="n">
        <v>45832</v>
      </c>
      <c r="C282" s="1" t="n">
        <v>45983</v>
      </c>
      <c r="D282" t="inlineStr">
        <is>
          <t>HALLANDS LÄN</t>
        </is>
      </c>
      <c r="E282" t="inlineStr">
        <is>
          <t>HYLTE</t>
        </is>
      </c>
      <c r="G282" t="n">
        <v>3.6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23037-2022</t>
        </is>
      </c>
      <c r="B283" s="1" t="n">
        <v>44719</v>
      </c>
      <c r="C283" s="1" t="n">
        <v>45983</v>
      </c>
      <c r="D283" t="inlineStr">
        <is>
          <t>HALLANDS LÄN</t>
        </is>
      </c>
      <c r="E283" t="inlineStr">
        <is>
          <t>HYLTE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32438-2025</t>
        </is>
      </c>
      <c r="B284" s="1" t="n">
        <v>45838.38233796296</v>
      </c>
      <c r="C284" s="1" t="n">
        <v>45983</v>
      </c>
      <c r="D284" t="inlineStr">
        <is>
          <t>HALLANDS LÄN</t>
        </is>
      </c>
      <c r="E284" t="inlineStr">
        <is>
          <t>HYLTE</t>
        </is>
      </c>
      <c r="G284" t="n">
        <v>1.4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29705-2025</t>
        </is>
      </c>
      <c r="B285" s="1" t="n">
        <v>45825.56074074074</v>
      </c>
      <c r="C285" s="1" t="n">
        <v>45983</v>
      </c>
      <c r="D285" t="inlineStr">
        <is>
          <t>HALLANDS LÄN</t>
        </is>
      </c>
      <c r="E285" t="inlineStr">
        <is>
          <t>HYLTE</t>
        </is>
      </c>
      <c r="G285" t="n">
        <v>2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29710-2025</t>
        </is>
      </c>
      <c r="B286" s="1" t="n">
        <v>45825.56381944445</v>
      </c>
      <c r="C286" s="1" t="n">
        <v>45983</v>
      </c>
      <c r="D286" t="inlineStr">
        <is>
          <t>HALLANDS LÄN</t>
        </is>
      </c>
      <c r="E286" t="inlineStr">
        <is>
          <t>HYLTE</t>
        </is>
      </c>
      <c r="G286" t="n">
        <v>0.6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21124-2025</t>
        </is>
      </c>
      <c r="B287" s="1" t="n">
        <v>45777.8774537037</v>
      </c>
      <c r="C287" s="1" t="n">
        <v>45983</v>
      </c>
      <c r="D287" t="inlineStr">
        <is>
          <t>HALLANDS LÄN</t>
        </is>
      </c>
      <c r="E287" t="inlineStr">
        <is>
          <t>HYLTE</t>
        </is>
      </c>
      <c r="G287" t="n">
        <v>5.3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42714-2024</t>
        </is>
      </c>
      <c r="B288" s="1" t="n">
        <v>45566</v>
      </c>
      <c r="C288" s="1" t="n">
        <v>45983</v>
      </c>
      <c r="D288" t="inlineStr">
        <is>
          <t>HALLANDS LÄN</t>
        </is>
      </c>
      <c r="E288" t="inlineStr">
        <is>
          <t>HYLTE</t>
        </is>
      </c>
      <c r="G288" t="n">
        <v>2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6693-2021</t>
        </is>
      </c>
      <c r="B289" s="1" t="n">
        <v>44236</v>
      </c>
      <c r="C289" s="1" t="n">
        <v>45983</v>
      </c>
      <c r="D289" t="inlineStr">
        <is>
          <t>HALLANDS LÄN</t>
        </is>
      </c>
      <c r="E289" t="inlineStr">
        <is>
          <t>HYLTE</t>
        </is>
      </c>
      <c r="G289" t="n">
        <v>2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39099-2024</t>
        </is>
      </c>
      <c r="B290" s="1" t="n">
        <v>45548.56550925926</v>
      </c>
      <c r="C290" s="1" t="n">
        <v>45983</v>
      </c>
      <c r="D290" t="inlineStr">
        <is>
          <t>HALLANDS LÄN</t>
        </is>
      </c>
      <c r="E290" t="inlineStr">
        <is>
          <t>HYLTE</t>
        </is>
      </c>
      <c r="G290" t="n">
        <v>1.3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30572-2025</t>
        </is>
      </c>
      <c r="B291" s="1" t="n">
        <v>45831.40982638889</v>
      </c>
      <c r="C291" s="1" t="n">
        <v>45983</v>
      </c>
      <c r="D291" t="inlineStr">
        <is>
          <t>HALLANDS LÄN</t>
        </is>
      </c>
      <c r="E291" t="inlineStr">
        <is>
          <t>HYLTE</t>
        </is>
      </c>
      <c r="G291" t="n">
        <v>0.7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20796-2022</t>
        </is>
      </c>
      <c r="B292" s="1" t="n">
        <v>44701.40556712963</v>
      </c>
      <c r="C292" s="1" t="n">
        <v>45983</v>
      </c>
      <c r="D292" t="inlineStr">
        <is>
          <t>HALLANDS LÄN</t>
        </is>
      </c>
      <c r="E292" t="inlineStr">
        <is>
          <t>HYLTE</t>
        </is>
      </c>
      <c r="F292" t="inlineStr">
        <is>
          <t>Bergvik skog väst AB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52757-2025</t>
        </is>
      </c>
      <c r="B293" s="1" t="n">
        <v>45957.39216435186</v>
      </c>
      <c r="C293" s="1" t="n">
        <v>45983</v>
      </c>
      <c r="D293" t="inlineStr">
        <is>
          <t>HALLANDS LÄN</t>
        </is>
      </c>
      <c r="E293" t="inlineStr">
        <is>
          <t>HYLTE</t>
        </is>
      </c>
      <c r="G293" t="n">
        <v>1.6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60421-2023</t>
        </is>
      </c>
      <c r="B294" s="1" t="n">
        <v>45259</v>
      </c>
      <c r="C294" s="1" t="n">
        <v>45983</v>
      </c>
      <c r="D294" t="inlineStr">
        <is>
          <t>HALLANDS LÄN</t>
        </is>
      </c>
      <c r="E294" t="inlineStr">
        <is>
          <t>HYLTE</t>
        </is>
      </c>
      <c r="G294" t="n">
        <v>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22587-2022</t>
        </is>
      </c>
      <c r="B295" s="1" t="n">
        <v>44714.33734953704</v>
      </c>
      <c r="C295" s="1" t="n">
        <v>45983</v>
      </c>
      <c r="D295" t="inlineStr">
        <is>
          <t>HALLANDS LÄN</t>
        </is>
      </c>
      <c r="E295" t="inlineStr">
        <is>
          <t>HYLTE</t>
        </is>
      </c>
      <c r="G295" t="n">
        <v>1.4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51673-2025</t>
        </is>
      </c>
      <c r="B296" s="1" t="n">
        <v>45951</v>
      </c>
      <c r="C296" s="1" t="n">
        <v>45983</v>
      </c>
      <c r="D296" t="inlineStr">
        <is>
          <t>HALLANDS LÄN</t>
        </is>
      </c>
      <c r="E296" t="inlineStr">
        <is>
          <t>HYLTE</t>
        </is>
      </c>
      <c r="G296" t="n">
        <v>1.9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66472-2020</t>
        </is>
      </c>
      <c r="B297" s="1" t="n">
        <v>44177.34789351852</v>
      </c>
      <c r="C297" s="1" t="n">
        <v>45983</v>
      </c>
      <c r="D297" t="inlineStr">
        <is>
          <t>HALLANDS LÄN</t>
        </is>
      </c>
      <c r="E297" t="inlineStr">
        <is>
          <t>HYLTE</t>
        </is>
      </c>
      <c r="G297" t="n">
        <v>1.5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8222-2023</t>
        </is>
      </c>
      <c r="B298" s="1" t="n">
        <v>44974</v>
      </c>
      <c r="C298" s="1" t="n">
        <v>45983</v>
      </c>
      <c r="D298" t="inlineStr">
        <is>
          <t>HALLANDS LÄN</t>
        </is>
      </c>
      <c r="E298" t="inlineStr">
        <is>
          <t>HYLTE</t>
        </is>
      </c>
      <c r="G298" t="n">
        <v>1.6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50523-2024</t>
        </is>
      </c>
      <c r="B299" s="1" t="n">
        <v>45601.55399305555</v>
      </c>
      <c r="C299" s="1" t="n">
        <v>45983</v>
      </c>
      <c r="D299" t="inlineStr">
        <is>
          <t>HALLANDS LÄN</t>
        </is>
      </c>
      <c r="E299" t="inlineStr">
        <is>
          <t>HYLTE</t>
        </is>
      </c>
      <c r="G299" t="n">
        <v>8.199999999999999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53331-2023</t>
        </is>
      </c>
      <c r="B300" s="1" t="n">
        <v>45229.62975694444</v>
      </c>
      <c r="C300" s="1" t="n">
        <v>45983</v>
      </c>
      <c r="D300" t="inlineStr">
        <is>
          <t>HALLANDS LÄN</t>
        </is>
      </c>
      <c r="E300" t="inlineStr">
        <is>
          <t>HYLTE</t>
        </is>
      </c>
      <c r="G300" t="n">
        <v>1.6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46692-2023</t>
        </is>
      </c>
      <c r="B301" s="1" t="n">
        <v>45198</v>
      </c>
      <c r="C301" s="1" t="n">
        <v>45983</v>
      </c>
      <c r="D301" t="inlineStr">
        <is>
          <t>HALLANDS LÄN</t>
        </is>
      </c>
      <c r="E301" t="inlineStr">
        <is>
          <t>HYLTE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31465-2025</t>
        </is>
      </c>
      <c r="B302" s="1" t="n">
        <v>45833</v>
      </c>
      <c r="C302" s="1" t="n">
        <v>45983</v>
      </c>
      <c r="D302" t="inlineStr">
        <is>
          <t>HALLANDS LÄN</t>
        </is>
      </c>
      <c r="E302" t="inlineStr">
        <is>
          <t>HYLTE</t>
        </is>
      </c>
      <c r="G302" t="n">
        <v>5.1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51800-2025</t>
        </is>
      </c>
      <c r="B303" s="1" t="n">
        <v>45951</v>
      </c>
      <c r="C303" s="1" t="n">
        <v>45983</v>
      </c>
      <c r="D303" t="inlineStr">
        <is>
          <t>HALLANDS LÄN</t>
        </is>
      </c>
      <c r="E303" t="inlineStr">
        <is>
          <t>HYLTE</t>
        </is>
      </c>
      <c r="G303" t="n">
        <v>3.7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52755-2025</t>
        </is>
      </c>
      <c r="B304" s="1" t="n">
        <v>45957.39133101852</v>
      </c>
      <c r="C304" s="1" t="n">
        <v>45983</v>
      </c>
      <c r="D304" t="inlineStr">
        <is>
          <t>HALLANDS LÄN</t>
        </is>
      </c>
      <c r="E304" t="inlineStr">
        <is>
          <t>HYLTE</t>
        </is>
      </c>
      <c r="G304" t="n">
        <v>0.4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48507-2024</t>
        </is>
      </c>
      <c r="B305" s="1" t="n">
        <v>45593</v>
      </c>
      <c r="C305" s="1" t="n">
        <v>45983</v>
      </c>
      <c r="D305" t="inlineStr">
        <is>
          <t>HALLANDS LÄN</t>
        </is>
      </c>
      <c r="E305" t="inlineStr">
        <is>
          <t>HYLTE</t>
        </is>
      </c>
      <c r="G305" t="n">
        <v>0.6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56806-2021</t>
        </is>
      </c>
      <c r="B306" s="1" t="n">
        <v>44481.57100694445</v>
      </c>
      <c r="C306" s="1" t="n">
        <v>45983</v>
      </c>
      <c r="D306" t="inlineStr">
        <is>
          <t>HALLANDS LÄN</t>
        </is>
      </c>
      <c r="E306" t="inlineStr">
        <is>
          <t>HYLTE</t>
        </is>
      </c>
      <c r="G306" t="n">
        <v>0.9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51797-2025</t>
        </is>
      </c>
      <c r="B307" s="1" t="n">
        <v>45951</v>
      </c>
      <c r="C307" s="1" t="n">
        <v>45983</v>
      </c>
      <c r="D307" t="inlineStr">
        <is>
          <t>HALLANDS LÄN</t>
        </is>
      </c>
      <c r="E307" t="inlineStr">
        <is>
          <t>HYLTE</t>
        </is>
      </c>
      <c r="G307" t="n">
        <v>2.1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32017-2025</t>
        </is>
      </c>
      <c r="B308" s="1" t="n">
        <v>45835.40422453704</v>
      </c>
      <c r="C308" s="1" t="n">
        <v>45983</v>
      </c>
      <c r="D308" t="inlineStr">
        <is>
          <t>HALLANDS LÄN</t>
        </is>
      </c>
      <c r="E308" t="inlineStr">
        <is>
          <t>HYLTE</t>
        </is>
      </c>
      <c r="G308" t="n">
        <v>2.3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44856-2025</t>
        </is>
      </c>
      <c r="B309" s="1" t="n">
        <v>45918</v>
      </c>
      <c r="C309" s="1" t="n">
        <v>45983</v>
      </c>
      <c r="D309" t="inlineStr">
        <is>
          <t>HALLANDS LÄN</t>
        </is>
      </c>
      <c r="E309" t="inlineStr">
        <is>
          <t>HYLTE</t>
        </is>
      </c>
      <c r="G309" t="n">
        <v>3.4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59494-2022</t>
        </is>
      </c>
      <c r="B310" s="1" t="n">
        <v>44900</v>
      </c>
      <c r="C310" s="1" t="n">
        <v>45983</v>
      </c>
      <c r="D310" t="inlineStr">
        <is>
          <t>HALLANDS LÄN</t>
        </is>
      </c>
      <c r="E310" t="inlineStr">
        <is>
          <t>HYLTE</t>
        </is>
      </c>
      <c r="G310" t="n">
        <v>0.8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32335-2025</t>
        </is>
      </c>
      <c r="B311" s="1" t="n">
        <v>45836.52755787037</v>
      </c>
      <c r="C311" s="1" t="n">
        <v>45983</v>
      </c>
      <c r="D311" t="inlineStr">
        <is>
          <t>HALLANDS LÄN</t>
        </is>
      </c>
      <c r="E311" t="inlineStr">
        <is>
          <t>HYLTE</t>
        </is>
      </c>
      <c r="G311" t="n">
        <v>0.9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32337-2025</t>
        </is>
      </c>
      <c r="B312" s="1" t="n">
        <v>45836.61804398148</v>
      </c>
      <c r="C312" s="1" t="n">
        <v>45983</v>
      </c>
      <c r="D312" t="inlineStr">
        <is>
          <t>HALLANDS LÄN</t>
        </is>
      </c>
      <c r="E312" t="inlineStr">
        <is>
          <t>HYLTE</t>
        </is>
      </c>
      <c r="G312" t="n">
        <v>3.1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32257-2025</t>
        </is>
      </c>
      <c r="B313" s="1" t="n">
        <v>45835.63642361111</v>
      </c>
      <c r="C313" s="1" t="n">
        <v>45983</v>
      </c>
      <c r="D313" t="inlineStr">
        <is>
          <t>HALLANDS LÄN</t>
        </is>
      </c>
      <c r="E313" t="inlineStr">
        <is>
          <t>HYLTE</t>
        </is>
      </c>
      <c r="G313" t="n">
        <v>0.9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21464-2024</t>
        </is>
      </c>
      <c r="B314" s="1" t="n">
        <v>45441.47888888889</v>
      </c>
      <c r="C314" s="1" t="n">
        <v>45983</v>
      </c>
      <c r="D314" t="inlineStr">
        <is>
          <t>HALLANDS LÄN</t>
        </is>
      </c>
      <c r="E314" t="inlineStr">
        <is>
          <t>HYLTE</t>
        </is>
      </c>
      <c r="G314" t="n">
        <v>0.7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32677-2025</t>
        </is>
      </c>
      <c r="B315" s="1" t="n">
        <v>45838.74873842593</v>
      </c>
      <c r="C315" s="1" t="n">
        <v>45983</v>
      </c>
      <c r="D315" t="inlineStr">
        <is>
          <t>HALLANDS LÄN</t>
        </is>
      </c>
      <c r="E315" t="inlineStr">
        <is>
          <t>HYLTE</t>
        </is>
      </c>
      <c r="G315" t="n">
        <v>1.9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53455-2025</t>
        </is>
      </c>
      <c r="B316" s="1" t="n">
        <v>45959.66341435185</v>
      </c>
      <c r="C316" s="1" t="n">
        <v>45983</v>
      </c>
      <c r="D316" t="inlineStr">
        <is>
          <t>HALLANDS LÄN</t>
        </is>
      </c>
      <c r="E316" t="inlineStr">
        <is>
          <t>HYLTE</t>
        </is>
      </c>
      <c r="G316" t="n">
        <v>0.8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62757-2022</t>
        </is>
      </c>
      <c r="B317" s="1" t="n">
        <v>44926.32438657407</v>
      </c>
      <c r="C317" s="1" t="n">
        <v>45983</v>
      </c>
      <c r="D317" t="inlineStr">
        <is>
          <t>HALLANDS LÄN</t>
        </is>
      </c>
      <c r="E317" t="inlineStr">
        <is>
          <t>HYLTE</t>
        </is>
      </c>
      <c r="F317" t="inlineStr">
        <is>
          <t>Kyrkan</t>
        </is>
      </c>
      <c r="G317" t="n">
        <v>3.4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32332-2025</t>
        </is>
      </c>
      <c r="B318" s="1" t="n">
        <v>45836.51347222222</v>
      </c>
      <c r="C318" s="1" t="n">
        <v>45983</v>
      </c>
      <c r="D318" t="inlineStr">
        <is>
          <t>HALLANDS LÄN</t>
        </is>
      </c>
      <c r="E318" t="inlineStr">
        <is>
          <t>HYLTE</t>
        </is>
      </c>
      <c r="G318" t="n">
        <v>4.1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32334-2025</t>
        </is>
      </c>
      <c r="B319" s="1" t="n">
        <v>45836.52130787037</v>
      </c>
      <c r="C319" s="1" t="n">
        <v>45983</v>
      </c>
      <c r="D319" t="inlineStr">
        <is>
          <t>HALLANDS LÄN</t>
        </is>
      </c>
      <c r="E319" t="inlineStr">
        <is>
          <t>HYLTE</t>
        </is>
      </c>
      <c r="G319" t="n">
        <v>1.2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44964-2025</t>
        </is>
      </c>
      <c r="B320" s="1" t="n">
        <v>45918.62341435185</v>
      </c>
      <c r="C320" s="1" t="n">
        <v>45983</v>
      </c>
      <c r="D320" t="inlineStr">
        <is>
          <t>HALLANDS LÄN</t>
        </is>
      </c>
      <c r="E320" t="inlineStr">
        <is>
          <t>HYLTE</t>
        </is>
      </c>
      <c r="G320" t="n">
        <v>3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29958-2022</t>
        </is>
      </c>
      <c r="B321" s="1" t="n">
        <v>44756</v>
      </c>
      <c r="C321" s="1" t="n">
        <v>45983</v>
      </c>
      <c r="D321" t="inlineStr">
        <is>
          <t>HALLANDS LÄN</t>
        </is>
      </c>
      <c r="E321" t="inlineStr">
        <is>
          <t>HYLTE</t>
        </is>
      </c>
      <c r="G321" t="n">
        <v>3.2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44825-2025</t>
        </is>
      </c>
      <c r="B322" s="1" t="n">
        <v>45918.38724537037</v>
      </c>
      <c r="C322" s="1" t="n">
        <v>45983</v>
      </c>
      <c r="D322" t="inlineStr">
        <is>
          <t>HALLANDS LÄN</t>
        </is>
      </c>
      <c r="E322" t="inlineStr">
        <is>
          <t>HYLTE</t>
        </is>
      </c>
      <c r="G322" t="n">
        <v>0.7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38444-2023</t>
        </is>
      </c>
      <c r="B323" s="1" t="n">
        <v>45162</v>
      </c>
      <c r="C323" s="1" t="n">
        <v>45983</v>
      </c>
      <c r="D323" t="inlineStr">
        <is>
          <t>HALLANDS LÄN</t>
        </is>
      </c>
      <c r="E323" t="inlineStr">
        <is>
          <t>HYLTE</t>
        </is>
      </c>
      <c r="G323" t="n">
        <v>2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38469-2023</t>
        </is>
      </c>
      <c r="B324" s="1" t="n">
        <v>45162.45288194445</v>
      </c>
      <c r="C324" s="1" t="n">
        <v>45983</v>
      </c>
      <c r="D324" t="inlineStr">
        <is>
          <t>HALLANDS LÄN</t>
        </is>
      </c>
      <c r="E324" t="inlineStr">
        <is>
          <t>HYLTE</t>
        </is>
      </c>
      <c r="G324" t="n">
        <v>0.5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32457-2025</t>
        </is>
      </c>
      <c r="B325" s="1" t="n">
        <v>45838.41030092593</v>
      </c>
      <c r="C325" s="1" t="n">
        <v>45983</v>
      </c>
      <c r="D325" t="inlineStr">
        <is>
          <t>HALLANDS LÄN</t>
        </is>
      </c>
      <c r="E325" t="inlineStr">
        <is>
          <t>HYLTE</t>
        </is>
      </c>
      <c r="G325" t="n">
        <v>1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62472-2023</t>
        </is>
      </c>
      <c r="B326" s="1" t="n">
        <v>45268.56440972222</v>
      </c>
      <c r="C326" s="1" t="n">
        <v>45983</v>
      </c>
      <c r="D326" t="inlineStr">
        <is>
          <t>HALLANDS LÄN</t>
        </is>
      </c>
      <c r="E326" t="inlineStr">
        <is>
          <t>HYLTE</t>
        </is>
      </c>
      <c r="G326" t="n">
        <v>0.9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33233-2025</t>
        </is>
      </c>
      <c r="B327" s="1" t="n">
        <v>45840.64344907407</v>
      </c>
      <c r="C327" s="1" t="n">
        <v>45983</v>
      </c>
      <c r="D327" t="inlineStr">
        <is>
          <t>HALLANDS LÄN</t>
        </is>
      </c>
      <c r="E327" t="inlineStr">
        <is>
          <t>HYLTE</t>
        </is>
      </c>
      <c r="G327" t="n">
        <v>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33207-2025</t>
        </is>
      </c>
      <c r="B328" s="1" t="n">
        <v>45840.61630787037</v>
      </c>
      <c r="C328" s="1" t="n">
        <v>45983</v>
      </c>
      <c r="D328" t="inlineStr">
        <is>
          <t>HALLANDS LÄN</t>
        </is>
      </c>
      <c r="E328" t="inlineStr">
        <is>
          <t>HYLTE</t>
        </is>
      </c>
      <c r="G328" t="n">
        <v>0.6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32921-2025</t>
        </is>
      </c>
      <c r="B329" s="1" t="n">
        <v>45839</v>
      </c>
      <c r="C329" s="1" t="n">
        <v>45983</v>
      </c>
      <c r="D329" t="inlineStr">
        <is>
          <t>HALLANDS LÄN</t>
        </is>
      </c>
      <c r="E329" t="inlineStr">
        <is>
          <t>HYLTE</t>
        </is>
      </c>
      <c r="G329" t="n">
        <v>3.2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32987-2025</t>
        </is>
      </c>
      <c r="B330" s="1" t="n">
        <v>45840.2062962963</v>
      </c>
      <c r="C330" s="1" t="n">
        <v>45983</v>
      </c>
      <c r="D330" t="inlineStr">
        <is>
          <t>HALLANDS LÄN</t>
        </is>
      </c>
      <c r="E330" t="inlineStr">
        <is>
          <t>HYLTE</t>
        </is>
      </c>
      <c r="F330" t="inlineStr">
        <is>
          <t>Bergvik skog väst AB</t>
        </is>
      </c>
      <c r="G330" t="n">
        <v>3.1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58817-2022</t>
        </is>
      </c>
      <c r="B331" s="1" t="n">
        <v>44903</v>
      </c>
      <c r="C331" s="1" t="n">
        <v>45983</v>
      </c>
      <c r="D331" t="inlineStr">
        <is>
          <t>HALLANDS LÄN</t>
        </is>
      </c>
      <c r="E331" t="inlineStr">
        <is>
          <t>HYLTE</t>
        </is>
      </c>
      <c r="G331" t="n">
        <v>2.1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33240-2025</t>
        </is>
      </c>
      <c r="B332" s="1" t="n">
        <v>45840.64900462963</v>
      </c>
      <c r="C332" s="1" t="n">
        <v>45983</v>
      </c>
      <c r="D332" t="inlineStr">
        <is>
          <t>HALLANDS LÄN</t>
        </is>
      </c>
      <c r="E332" t="inlineStr">
        <is>
          <t>HYLTE</t>
        </is>
      </c>
      <c r="G332" t="n">
        <v>0.6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53768-2025</t>
        </is>
      </c>
      <c r="B333" s="1" t="n">
        <v>45960.68140046296</v>
      </c>
      <c r="C333" s="1" t="n">
        <v>45983</v>
      </c>
      <c r="D333" t="inlineStr">
        <is>
          <t>HALLANDS LÄN</t>
        </is>
      </c>
      <c r="E333" t="inlineStr">
        <is>
          <t>HYLTE</t>
        </is>
      </c>
      <c r="G333" t="n">
        <v>1.2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53771-2025</t>
        </is>
      </c>
      <c r="B334" s="1" t="n">
        <v>45960.68377314815</v>
      </c>
      <c r="C334" s="1" t="n">
        <v>45983</v>
      </c>
      <c r="D334" t="inlineStr">
        <is>
          <t>HALLANDS LÄN</t>
        </is>
      </c>
      <c r="E334" t="inlineStr">
        <is>
          <t>HYLTE</t>
        </is>
      </c>
      <c r="G334" t="n">
        <v>1.6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33253-2025</t>
        </is>
      </c>
      <c r="B335" s="1" t="n">
        <v>45840.66315972222</v>
      </c>
      <c r="C335" s="1" t="n">
        <v>45983</v>
      </c>
      <c r="D335" t="inlineStr">
        <is>
          <t>HALLANDS LÄN</t>
        </is>
      </c>
      <c r="E335" t="inlineStr">
        <is>
          <t>HYLTE</t>
        </is>
      </c>
      <c r="G335" t="n">
        <v>1.4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18150-2025</t>
        </is>
      </c>
      <c r="B336" s="1" t="n">
        <v>45761</v>
      </c>
      <c r="C336" s="1" t="n">
        <v>45983</v>
      </c>
      <c r="D336" t="inlineStr">
        <is>
          <t>HALLANDS LÄN</t>
        </is>
      </c>
      <c r="E336" t="inlineStr">
        <is>
          <t>HYLTE</t>
        </is>
      </c>
      <c r="G336" t="n">
        <v>1.8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45431-2025</t>
        </is>
      </c>
      <c r="B337" s="1" t="n">
        <v>45922</v>
      </c>
      <c r="C337" s="1" t="n">
        <v>45983</v>
      </c>
      <c r="D337" t="inlineStr">
        <is>
          <t>HALLANDS LÄN</t>
        </is>
      </c>
      <c r="E337" t="inlineStr">
        <is>
          <t>HYLTE</t>
        </is>
      </c>
      <c r="G337" t="n">
        <v>1.5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53876-2025</t>
        </is>
      </c>
      <c r="B338" s="1" t="n">
        <v>45961.39516203704</v>
      </c>
      <c r="C338" s="1" t="n">
        <v>45983</v>
      </c>
      <c r="D338" t="inlineStr">
        <is>
          <t>HALLANDS LÄN</t>
        </is>
      </c>
      <c r="E338" t="inlineStr">
        <is>
          <t>HYLTE</t>
        </is>
      </c>
      <c r="G338" t="n">
        <v>1.4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53945-2025</t>
        </is>
      </c>
      <c r="B339" s="1" t="n">
        <v>45961.49508101852</v>
      </c>
      <c r="C339" s="1" t="n">
        <v>45983</v>
      </c>
      <c r="D339" t="inlineStr">
        <is>
          <t>HALLANDS LÄN</t>
        </is>
      </c>
      <c r="E339" t="inlineStr">
        <is>
          <t>HYLTE</t>
        </is>
      </c>
      <c r="G339" t="n">
        <v>1.9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33274-2025</t>
        </is>
      </c>
      <c r="B340" s="1" t="n">
        <v>45840.69015046296</v>
      </c>
      <c r="C340" s="1" t="n">
        <v>45983</v>
      </c>
      <c r="D340" t="inlineStr">
        <is>
          <t>HALLANDS LÄN</t>
        </is>
      </c>
      <c r="E340" t="inlineStr">
        <is>
          <t>HYLTE</t>
        </is>
      </c>
      <c r="G340" t="n">
        <v>3.9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33182-2025</t>
        </is>
      </c>
      <c r="B341" s="1" t="n">
        <v>45840.59165509259</v>
      </c>
      <c r="C341" s="1" t="n">
        <v>45983</v>
      </c>
      <c r="D341" t="inlineStr">
        <is>
          <t>HALLANDS LÄN</t>
        </is>
      </c>
      <c r="E341" t="inlineStr">
        <is>
          <t>HYLTE</t>
        </is>
      </c>
      <c r="G341" t="n">
        <v>2.8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12315-2023</t>
        </is>
      </c>
      <c r="B342" s="1" t="n">
        <v>44999.33878472223</v>
      </c>
      <c r="C342" s="1" t="n">
        <v>45983</v>
      </c>
      <c r="D342" t="inlineStr">
        <is>
          <t>HALLANDS LÄN</t>
        </is>
      </c>
      <c r="E342" t="inlineStr">
        <is>
          <t>HYLTE</t>
        </is>
      </c>
      <c r="G342" t="n">
        <v>0.5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32989-2025</t>
        </is>
      </c>
      <c r="B343" s="1" t="n">
        <v>45840.21756944444</v>
      </c>
      <c r="C343" s="1" t="n">
        <v>45983</v>
      </c>
      <c r="D343" t="inlineStr">
        <is>
          <t>HALLANDS LÄN</t>
        </is>
      </c>
      <c r="E343" t="inlineStr">
        <is>
          <t>HYLTE</t>
        </is>
      </c>
      <c r="F343" t="inlineStr">
        <is>
          <t>Bergvik skog väst AB</t>
        </is>
      </c>
      <c r="G343" t="n">
        <v>2.1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45213-2025</t>
        </is>
      </c>
      <c r="B344" s="1" t="n">
        <v>45919.57086805555</v>
      </c>
      <c r="C344" s="1" t="n">
        <v>45983</v>
      </c>
      <c r="D344" t="inlineStr">
        <is>
          <t>HALLANDS LÄN</t>
        </is>
      </c>
      <c r="E344" t="inlineStr">
        <is>
          <t>HYLTE</t>
        </is>
      </c>
      <c r="G344" t="n">
        <v>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33794-2025</t>
        </is>
      </c>
      <c r="B345" s="1" t="n">
        <v>45842.43490740741</v>
      </c>
      <c r="C345" s="1" t="n">
        <v>45983</v>
      </c>
      <c r="D345" t="inlineStr">
        <is>
          <t>HALLANDS LÄN</t>
        </is>
      </c>
      <c r="E345" t="inlineStr">
        <is>
          <t>HYLTE</t>
        </is>
      </c>
      <c r="G345" t="n">
        <v>6.2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53939-2025</t>
        </is>
      </c>
      <c r="B346" s="1" t="n">
        <v>45961.48678240741</v>
      </c>
      <c r="C346" s="1" t="n">
        <v>45983</v>
      </c>
      <c r="D346" t="inlineStr">
        <is>
          <t>HALLANDS LÄN</t>
        </is>
      </c>
      <c r="E346" t="inlineStr">
        <is>
          <t>HYLTE</t>
        </is>
      </c>
      <c r="G346" t="n">
        <v>3.1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33294-2025</t>
        </is>
      </c>
      <c r="B347" s="1" t="n">
        <v>45840.91797453703</v>
      </c>
      <c r="C347" s="1" t="n">
        <v>45983</v>
      </c>
      <c r="D347" t="inlineStr">
        <is>
          <t>HALLANDS LÄN</t>
        </is>
      </c>
      <c r="E347" t="inlineStr">
        <is>
          <t>HYLTE</t>
        </is>
      </c>
      <c r="G347" t="n">
        <v>10.6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45216-2025</t>
        </is>
      </c>
      <c r="B348" s="1" t="n">
        <v>45919.5725</v>
      </c>
      <c r="C348" s="1" t="n">
        <v>45983</v>
      </c>
      <c r="D348" t="inlineStr">
        <is>
          <t>HALLANDS LÄN</t>
        </is>
      </c>
      <c r="E348" t="inlineStr">
        <is>
          <t>HYLTE</t>
        </is>
      </c>
      <c r="G348" t="n">
        <v>0.5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11999-2021</t>
        </is>
      </c>
      <c r="B349" s="1" t="n">
        <v>44266.43890046296</v>
      </c>
      <c r="C349" s="1" t="n">
        <v>45983</v>
      </c>
      <c r="D349" t="inlineStr">
        <is>
          <t>HALLANDS LÄN</t>
        </is>
      </c>
      <c r="E349" t="inlineStr">
        <is>
          <t>HYLTE</t>
        </is>
      </c>
      <c r="F349" t="inlineStr">
        <is>
          <t>Bergvik skog väst AB</t>
        </is>
      </c>
      <c r="G349" t="n">
        <v>1.8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33629-2025</t>
        </is>
      </c>
      <c r="B350" s="1" t="n">
        <v>45841.6372337963</v>
      </c>
      <c r="C350" s="1" t="n">
        <v>45983</v>
      </c>
      <c r="D350" t="inlineStr">
        <is>
          <t>HALLANDS LÄN</t>
        </is>
      </c>
      <c r="E350" t="inlineStr">
        <is>
          <t>HYLTE</t>
        </is>
      </c>
      <c r="G350" t="n">
        <v>1.1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33637-2025</t>
        </is>
      </c>
      <c r="B351" s="1" t="n">
        <v>45841.64542824074</v>
      </c>
      <c r="C351" s="1" t="n">
        <v>45983</v>
      </c>
      <c r="D351" t="inlineStr">
        <is>
          <t>HALLANDS LÄN</t>
        </is>
      </c>
      <c r="E351" t="inlineStr">
        <is>
          <t>HYLTE</t>
        </is>
      </c>
      <c r="G351" t="n">
        <v>0.5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45231-2025</t>
        </is>
      </c>
      <c r="B352" s="1" t="n">
        <v>45919.58993055556</v>
      </c>
      <c r="C352" s="1" t="n">
        <v>45983</v>
      </c>
      <c r="D352" t="inlineStr">
        <is>
          <t>HALLANDS LÄN</t>
        </is>
      </c>
      <c r="E352" t="inlineStr">
        <is>
          <t>HYLTE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45416-2025</t>
        </is>
      </c>
      <c r="B353" s="1" t="n">
        <v>45922</v>
      </c>
      <c r="C353" s="1" t="n">
        <v>45983</v>
      </c>
      <c r="D353" t="inlineStr">
        <is>
          <t>HALLANDS LÄN</t>
        </is>
      </c>
      <c r="E353" t="inlineStr">
        <is>
          <t>HYLTE</t>
        </is>
      </c>
      <c r="G353" t="n">
        <v>1.5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45420-2025</t>
        </is>
      </c>
      <c r="B354" s="1" t="n">
        <v>45922</v>
      </c>
      <c r="C354" s="1" t="n">
        <v>45983</v>
      </c>
      <c r="D354" t="inlineStr">
        <is>
          <t>HALLANDS LÄN</t>
        </is>
      </c>
      <c r="E354" t="inlineStr">
        <is>
          <t>HYLTE</t>
        </is>
      </c>
      <c r="G354" t="n">
        <v>1.1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45226-2025</t>
        </is>
      </c>
      <c r="B355" s="1" t="n">
        <v>45919.58478009259</v>
      </c>
      <c r="C355" s="1" t="n">
        <v>45983</v>
      </c>
      <c r="D355" t="inlineStr">
        <is>
          <t>HALLANDS LÄN</t>
        </is>
      </c>
      <c r="E355" t="inlineStr">
        <is>
          <t>HYLTE</t>
        </is>
      </c>
      <c r="G355" t="n">
        <v>2.2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45373-2025</t>
        </is>
      </c>
      <c r="B356" s="1" t="n">
        <v>45922.39290509259</v>
      </c>
      <c r="C356" s="1" t="n">
        <v>45983</v>
      </c>
      <c r="D356" t="inlineStr">
        <is>
          <t>HALLANDS LÄN</t>
        </is>
      </c>
      <c r="E356" t="inlineStr">
        <is>
          <t>HYLTE</t>
        </is>
      </c>
      <c r="G356" t="n">
        <v>3.7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34272-2025</t>
        </is>
      </c>
      <c r="B357" s="1" t="n">
        <v>45845.834375</v>
      </c>
      <c r="C357" s="1" t="n">
        <v>45983</v>
      </c>
      <c r="D357" t="inlineStr">
        <is>
          <t>HALLANDS LÄN</t>
        </is>
      </c>
      <c r="E357" t="inlineStr">
        <is>
          <t>HYLTE</t>
        </is>
      </c>
      <c r="G357" t="n">
        <v>0.8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45056-2025</t>
        </is>
      </c>
      <c r="B358" s="1" t="n">
        <v>45919.32479166667</v>
      </c>
      <c r="C358" s="1" t="n">
        <v>45983</v>
      </c>
      <c r="D358" t="inlineStr">
        <is>
          <t>HALLANDS LÄN</t>
        </is>
      </c>
      <c r="E358" t="inlineStr">
        <is>
          <t>HYLTE</t>
        </is>
      </c>
      <c r="G358" t="n">
        <v>0.5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34271-2025</t>
        </is>
      </c>
      <c r="B359" s="1" t="n">
        <v>45845.8321875</v>
      </c>
      <c r="C359" s="1" t="n">
        <v>45983</v>
      </c>
      <c r="D359" t="inlineStr">
        <is>
          <t>HALLANDS LÄN</t>
        </is>
      </c>
      <c r="E359" t="inlineStr">
        <is>
          <t>HYLTE</t>
        </is>
      </c>
      <c r="G359" t="n">
        <v>0.5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25167-2025</t>
        </is>
      </c>
      <c r="B360" s="1" t="n">
        <v>45800.43460648148</v>
      </c>
      <c r="C360" s="1" t="n">
        <v>45983</v>
      </c>
      <c r="D360" t="inlineStr">
        <is>
          <t>HALLANDS LÄN</t>
        </is>
      </c>
      <c r="E360" t="inlineStr">
        <is>
          <t>HYLTE</t>
        </is>
      </c>
      <c r="G360" t="n">
        <v>1.8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34555-2025</t>
        </is>
      </c>
      <c r="B361" s="1" t="n">
        <v>45846</v>
      </c>
      <c r="C361" s="1" t="n">
        <v>45983</v>
      </c>
      <c r="D361" t="inlineStr">
        <is>
          <t>HALLANDS LÄN</t>
        </is>
      </c>
      <c r="E361" t="inlineStr">
        <is>
          <t>HYLTE</t>
        </is>
      </c>
      <c r="F361" t="inlineStr">
        <is>
          <t>Kyrkan</t>
        </is>
      </c>
      <c r="G361" t="n">
        <v>2.4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34550-2025</t>
        </is>
      </c>
      <c r="B362" s="1" t="n">
        <v>45846</v>
      </c>
      <c r="C362" s="1" t="n">
        <v>45983</v>
      </c>
      <c r="D362" t="inlineStr">
        <is>
          <t>HALLANDS LÄN</t>
        </is>
      </c>
      <c r="E362" t="inlineStr">
        <is>
          <t>HYLTE</t>
        </is>
      </c>
      <c r="F362" t="inlineStr">
        <is>
          <t>Kyrkan</t>
        </is>
      </c>
      <c r="G362" t="n">
        <v>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34561-2025</t>
        </is>
      </c>
      <c r="B363" s="1" t="n">
        <v>45846</v>
      </c>
      <c r="C363" s="1" t="n">
        <v>45983</v>
      </c>
      <c r="D363" t="inlineStr">
        <is>
          <t>HALLANDS LÄN</t>
        </is>
      </c>
      <c r="E363" t="inlineStr">
        <is>
          <t>HYLTE</t>
        </is>
      </c>
      <c r="F363" t="inlineStr">
        <is>
          <t>Kyrkan</t>
        </is>
      </c>
      <c r="G363" t="n">
        <v>1.6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46013-2025</t>
        </is>
      </c>
      <c r="B364" s="1" t="n">
        <v>45924.42583333333</v>
      </c>
      <c r="C364" s="1" t="n">
        <v>45983</v>
      </c>
      <c r="D364" t="inlineStr">
        <is>
          <t>HALLANDS LÄN</t>
        </is>
      </c>
      <c r="E364" t="inlineStr">
        <is>
          <t>HYLTE</t>
        </is>
      </c>
      <c r="G364" t="n">
        <v>2.4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34453-2025</t>
        </is>
      </c>
      <c r="B365" s="1" t="n">
        <v>45847.31618055556</v>
      </c>
      <c r="C365" s="1" t="n">
        <v>45983</v>
      </c>
      <c r="D365" t="inlineStr">
        <is>
          <t>HALLANDS LÄN</t>
        </is>
      </c>
      <c r="E365" t="inlineStr">
        <is>
          <t>HYLTE</t>
        </is>
      </c>
      <c r="G365" t="n">
        <v>1.3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11069-2025</t>
        </is>
      </c>
      <c r="B366" s="1" t="n">
        <v>45723</v>
      </c>
      <c r="C366" s="1" t="n">
        <v>45983</v>
      </c>
      <c r="D366" t="inlineStr">
        <is>
          <t>HALLANDS LÄN</t>
        </is>
      </c>
      <c r="E366" t="inlineStr">
        <is>
          <t>HYLTE</t>
        </is>
      </c>
      <c r="G366" t="n">
        <v>3.2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34454-2025</t>
        </is>
      </c>
      <c r="B367" s="1" t="n">
        <v>45847.32033564815</v>
      </c>
      <c r="C367" s="1" t="n">
        <v>45983</v>
      </c>
      <c r="D367" t="inlineStr">
        <is>
          <t>HALLANDS LÄN</t>
        </is>
      </c>
      <c r="E367" t="inlineStr">
        <is>
          <t>HYLTE</t>
        </is>
      </c>
      <c r="G367" t="n">
        <v>2.1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59627-2023</t>
        </is>
      </c>
      <c r="B368" s="1" t="n">
        <v>45254.67070601852</v>
      </c>
      <c r="C368" s="1" t="n">
        <v>45983</v>
      </c>
      <c r="D368" t="inlineStr">
        <is>
          <t>HALLANDS LÄN</t>
        </is>
      </c>
      <c r="E368" t="inlineStr">
        <is>
          <t>HYLTE</t>
        </is>
      </c>
      <c r="G368" t="n">
        <v>0.7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34759-2025</t>
        </is>
      </c>
      <c r="B369" s="1" t="n">
        <v>45848.63644675926</v>
      </c>
      <c r="C369" s="1" t="n">
        <v>45983</v>
      </c>
      <c r="D369" t="inlineStr">
        <is>
          <t>HALLANDS LÄN</t>
        </is>
      </c>
      <c r="E369" t="inlineStr">
        <is>
          <t>HYLTE</t>
        </is>
      </c>
      <c r="F369" t="inlineStr">
        <is>
          <t>Bergvik skog väst AB</t>
        </is>
      </c>
      <c r="G369" t="n">
        <v>4.7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24585-2024</t>
        </is>
      </c>
      <c r="B370" s="1" t="n">
        <v>45460.46581018518</v>
      </c>
      <c r="C370" s="1" t="n">
        <v>45983</v>
      </c>
      <c r="D370" t="inlineStr">
        <is>
          <t>HALLANDS LÄN</t>
        </is>
      </c>
      <c r="E370" t="inlineStr">
        <is>
          <t>HYLTE</t>
        </is>
      </c>
      <c r="G370" t="n">
        <v>1.4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6272-2023</t>
        </is>
      </c>
      <c r="B371" s="1" t="n">
        <v>44965</v>
      </c>
      <c r="C371" s="1" t="n">
        <v>45983</v>
      </c>
      <c r="D371" t="inlineStr">
        <is>
          <t>HALLANDS LÄN</t>
        </is>
      </c>
      <c r="E371" t="inlineStr">
        <is>
          <t>HYLTE</t>
        </is>
      </c>
      <c r="F371" t="inlineStr">
        <is>
          <t>Bergvik skog väst AB</t>
        </is>
      </c>
      <c r="G371" t="n">
        <v>6.6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25560-2025</t>
        </is>
      </c>
      <c r="B372" s="1" t="n">
        <v>45803.45482638889</v>
      </c>
      <c r="C372" s="1" t="n">
        <v>45983</v>
      </c>
      <c r="D372" t="inlineStr">
        <is>
          <t>HALLANDS LÄN</t>
        </is>
      </c>
      <c r="E372" t="inlineStr">
        <is>
          <t>HYLTE</t>
        </is>
      </c>
      <c r="G372" t="n">
        <v>1.4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39780-2025</t>
        </is>
      </c>
      <c r="B373" s="1" t="n">
        <v>45891.47208333333</v>
      </c>
      <c r="C373" s="1" t="n">
        <v>45983</v>
      </c>
      <c r="D373" t="inlineStr">
        <is>
          <t>HALLANDS LÄN</t>
        </is>
      </c>
      <c r="E373" t="inlineStr">
        <is>
          <t>HYLTE</t>
        </is>
      </c>
      <c r="G373" t="n">
        <v>0.8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34754-2025</t>
        </is>
      </c>
      <c r="B374" s="1" t="n">
        <v>45848.62380787037</v>
      </c>
      <c r="C374" s="1" t="n">
        <v>45983</v>
      </c>
      <c r="D374" t="inlineStr">
        <is>
          <t>HALLANDS LÄN</t>
        </is>
      </c>
      <c r="E374" t="inlineStr">
        <is>
          <t>HYLTE</t>
        </is>
      </c>
      <c r="G374" t="n">
        <v>1.5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46008-2025</t>
        </is>
      </c>
      <c r="B375" s="1" t="n">
        <v>45924.40980324074</v>
      </c>
      <c r="C375" s="1" t="n">
        <v>45983</v>
      </c>
      <c r="D375" t="inlineStr">
        <is>
          <t>HALLANDS LÄN</t>
        </is>
      </c>
      <c r="E375" t="inlineStr">
        <is>
          <t>HYLTE</t>
        </is>
      </c>
      <c r="G375" t="n">
        <v>1.1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7301-2023</t>
        </is>
      </c>
      <c r="B376" s="1" t="n">
        <v>44970</v>
      </c>
      <c r="C376" s="1" t="n">
        <v>45983</v>
      </c>
      <c r="D376" t="inlineStr">
        <is>
          <t>HALLANDS LÄN</t>
        </is>
      </c>
      <c r="E376" t="inlineStr">
        <is>
          <t>HYLTE</t>
        </is>
      </c>
      <c r="G376" t="n">
        <v>2.7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7302-2023</t>
        </is>
      </c>
      <c r="B377" s="1" t="n">
        <v>44970</v>
      </c>
      <c r="C377" s="1" t="n">
        <v>45983</v>
      </c>
      <c r="D377" t="inlineStr">
        <is>
          <t>HALLANDS LÄN</t>
        </is>
      </c>
      <c r="E377" t="inlineStr">
        <is>
          <t>HYLTE</t>
        </is>
      </c>
      <c r="G377" t="n">
        <v>0.5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46690-2025</t>
        </is>
      </c>
      <c r="B378" s="1" t="n">
        <v>45926.55349537037</v>
      </c>
      <c r="C378" s="1" t="n">
        <v>45983</v>
      </c>
      <c r="D378" t="inlineStr">
        <is>
          <t>HALLANDS LÄN</t>
        </is>
      </c>
      <c r="E378" t="inlineStr">
        <is>
          <t>HYLTE</t>
        </is>
      </c>
      <c r="G378" t="n">
        <v>0.7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46691-2025</t>
        </is>
      </c>
      <c r="B379" s="1" t="n">
        <v>45926.5547337963</v>
      </c>
      <c r="C379" s="1" t="n">
        <v>45983</v>
      </c>
      <c r="D379" t="inlineStr">
        <is>
          <t>HALLANDS LÄN</t>
        </is>
      </c>
      <c r="E379" t="inlineStr">
        <is>
          <t>HYLTE</t>
        </is>
      </c>
      <c r="G379" t="n">
        <v>1.8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46696-2025</t>
        </is>
      </c>
      <c r="B380" s="1" t="n">
        <v>45926.55976851852</v>
      </c>
      <c r="C380" s="1" t="n">
        <v>45983</v>
      </c>
      <c r="D380" t="inlineStr">
        <is>
          <t>HALLANDS LÄN</t>
        </is>
      </c>
      <c r="E380" t="inlineStr">
        <is>
          <t>HYLTE</t>
        </is>
      </c>
      <c r="G380" t="n">
        <v>1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46699-2025</t>
        </is>
      </c>
      <c r="B381" s="1" t="n">
        <v>45926.56075231481</v>
      </c>
      <c r="C381" s="1" t="n">
        <v>45983</v>
      </c>
      <c r="D381" t="inlineStr">
        <is>
          <t>HALLANDS LÄN</t>
        </is>
      </c>
      <c r="E381" t="inlineStr">
        <is>
          <t>HYLTE</t>
        </is>
      </c>
      <c r="G381" t="n">
        <v>2.2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35235-2025</t>
        </is>
      </c>
      <c r="B382" s="1" t="n">
        <v>45853.60252314815</v>
      </c>
      <c r="C382" s="1" t="n">
        <v>45983</v>
      </c>
      <c r="D382" t="inlineStr">
        <is>
          <t>HALLANDS LÄN</t>
        </is>
      </c>
      <c r="E382" t="inlineStr">
        <is>
          <t>HYLTE</t>
        </is>
      </c>
      <c r="G382" t="n">
        <v>0.9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29819-2023</t>
        </is>
      </c>
      <c r="B383" s="1" t="n">
        <v>45107.56026620371</v>
      </c>
      <c r="C383" s="1" t="n">
        <v>45983</v>
      </c>
      <c r="D383" t="inlineStr">
        <is>
          <t>HALLANDS LÄN</t>
        </is>
      </c>
      <c r="E383" t="inlineStr">
        <is>
          <t>HYLTE</t>
        </is>
      </c>
      <c r="G383" t="n">
        <v>4.3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24045-2024</t>
        </is>
      </c>
      <c r="B384" s="1" t="n">
        <v>45456.49001157407</v>
      </c>
      <c r="C384" s="1" t="n">
        <v>45983</v>
      </c>
      <c r="D384" t="inlineStr">
        <is>
          <t>HALLANDS LÄN</t>
        </is>
      </c>
      <c r="E384" t="inlineStr">
        <is>
          <t>HYLTE</t>
        </is>
      </c>
      <c r="G384" t="n">
        <v>3.8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26432-2023</t>
        </is>
      </c>
      <c r="B385" s="1" t="n">
        <v>45092</v>
      </c>
      <c r="C385" s="1" t="n">
        <v>45983</v>
      </c>
      <c r="D385" t="inlineStr">
        <is>
          <t>HALLANDS LÄN</t>
        </is>
      </c>
      <c r="E385" t="inlineStr">
        <is>
          <t>HYLTE</t>
        </is>
      </c>
      <c r="G385" t="n">
        <v>3.7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33625-2025</t>
        </is>
      </c>
      <c r="B386" s="1" t="n">
        <v>45841.63418981482</v>
      </c>
      <c r="C386" s="1" t="n">
        <v>45983</v>
      </c>
      <c r="D386" t="inlineStr">
        <is>
          <t>HALLANDS LÄN</t>
        </is>
      </c>
      <c r="E386" t="inlineStr">
        <is>
          <t>HYLTE</t>
        </is>
      </c>
      <c r="G386" t="n">
        <v>0.7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47060-2025</t>
        </is>
      </c>
      <c r="B387" s="1" t="n">
        <v>45929.62858796296</v>
      </c>
      <c r="C387" s="1" t="n">
        <v>45983</v>
      </c>
      <c r="D387" t="inlineStr">
        <is>
          <t>HALLANDS LÄN</t>
        </is>
      </c>
      <c r="E387" t="inlineStr">
        <is>
          <t>HYLTE</t>
        </is>
      </c>
      <c r="G387" t="n">
        <v>0.5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53182-2023</t>
        </is>
      </c>
      <c r="B388" s="1" t="n">
        <v>45229.41303240741</v>
      </c>
      <c r="C388" s="1" t="n">
        <v>45983</v>
      </c>
      <c r="D388" t="inlineStr">
        <is>
          <t>HALLANDS LÄN</t>
        </is>
      </c>
      <c r="E388" t="inlineStr">
        <is>
          <t>HYLTE</t>
        </is>
      </c>
      <c r="G388" t="n">
        <v>1.2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13214-2023</t>
        </is>
      </c>
      <c r="B389" s="1" t="n">
        <v>45002.67559027778</v>
      </c>
      <c r="C389" s="1" t="n">
        <v>45983</v>
      </c>
      <c r="D389" t="inlineStr">
        <is>
          <t>HALLANDS LÄN</t>
        </is>
      </c>
      <c r="E389" t="inlineStr">
        <is>
          <t>HYLTE</t>
        </is>
      </c>
      <c r="G389" t="n">
        <v>3.9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47063-2025</t>
        </is>
      </c>
      <c r="B390" s="1" t="n">
        <v>45929.63052083334</v>
      </c>
      <c r="C390" s="1" t="n">
        <v>45983</v>
      </c>
      <c r="D390" t="inlineStr">
        <is>
          <t>HALLANDS LÄN</t>
        </is>
      </c>
      <c r="E390" t="inlineStr">
        <is>
          <t>HYLTE</t>
        </is>
      </c>
      <c r="G390" t="n">
        <v>1.1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55643-2025</t>
        </is>
      </c>
      <c r="B391" s="1" t="n">
        <v>45972.35881944445</v>
      </c>
      <c r="C391" s="1" t="n">
        <v>45983</v>
      </c>
      <c r="D391" t="inlineStr">
        <is>
          <t>HALLANDS LÄN</t>
        </is>
      </c>
      <c r="E391" t="inlineStr">
        <is>
          <t>HYLTE</t>
        </is>
      </c>
      <c r="G391" t="n">
        <v>1.2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29718-2023</t>
        </is>
      </c>
      <c r="B392" s="1" t="n">
        <v>45107.43129629629</v>
      </c>
      <c r="C392" s="1" t="n">
        <v>45983</v>
      </c>
      <c r="D392" t="inlineStr">
        <is>
          <t>HALLANDS LÄN</t>
        </is>
      </c>
      <c r="E392" t="inlineStr">
        <is>
          <t>HYLTE</t>
        </is>
      </c>
      <c r="G392" t="n">
        <v>1.7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36105-2025</t>
        </is>
      </c>
      <c r="B393" s="1" t="n">
        <v>45866.55670138889</v>
      </c>
      <c r="C393" s="1" t="n">
        <v>45983</v>
      </c>
      <c r="D393" t="inlineStr">
        <is>
          <t>HALLANDS LÄN</t>
        </is>
      </c>
      <c r="E393" t="inlineStr">
        <is>
          <t>HYLTE</t>
        </is>
      </c>
      <c r="G393" t="n">
        <v>1.6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47067-2025</t>
        </is>
      </c>
      <c r="B394" s="1" t="n">
        <v>45929.63457175926</v>
      </c>
      <c r="C394" s="1" t="n">
        <v>45983</v>
      </c>
      <c r="D394" t="inlineStr">
        <is>
          <t>HALLANDS LÄN</t>
        </is>
      </c>
      <c r="E394" t="inlineStr">
        <is>
          <t>HYLTE</t>
        </is>
      </c>
      <c r="G394" t="n">
        <v>1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55644-2025</t>
        </is>
      </c>
      <c r="B395" s="1" t="n">
        <v>45972</v>
      </c>
      <c r="C395" s="1" t="n">
        <v>45983</v>
      </c>
      <c r="D395" t="inlineStr">
        <is>
          <t>HALLANDS LÄN</t>
        </is>
      </c>
      <c r="E395" t="inlineStr">
        <is>
          <t>HYLTE</t>
        </is>
      </c>
      <c r="G395" t="n">
        <v>1.1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36722-2023</t>
        </is>
      </c>
      <c r="B396" s="1" t="n">
        <v>45153</v>
      </c>
      <c r="C396" s="1" t="n">
        <v>45983</v>
      </c>
      <c r="D396" t="inlineStr">
        <is>
          <t>HALLANDS LÄN</t>
        </is>
      </c>
      <c r="E396" t="inlineStr">
        <is>
          <t>HYLTE</t>
        </is>
      </c>
      <c r="F396" t="inlineStr">
        <is>
          <t>Bergvik skog väst AB</t>
        </is>
      </c>
      <c r="G396" t="n">
        <v>11.6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61261-2024</t>
        </is>
      </c>
      <c r="B397" s="1" t="n">
        <v>45645.71857638889</v>
      </c>
      <c r="C397" s="1" t="n">
        <v>45983</v>
      </c>
      <c r="D397" t="inlineStr">
        <is>
          <t>HALLANDS LÄN</t>
        </is>
      </c>
      <c r="E397" t="inlineStr">
        <is>
          <t>HYLTE</t>
        </is>
      </c>
      <c r="G397" t="n">
        <v>0.6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6596-2025</t>
        </is>
      </c>
      <c r="B398" s="1" t="n">
        <v>45700.31631944444</v>
      </c>
      <c r="C398" s="1" t="n">
        <v>45983</v>
      </c>
      <c r="D398" t="inlineStr">
        <is>
          <t>HALLANDS LÄN</t>
        </is>
      </c>
      <c r="E398" t="inlineStr">
        <is>
          <t>HYLTE</t>
        </is>
      </c>
      <c r="G398" t="n">
        <v>0.7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6593-2025</t>
        </is>
      </c>
      <c r="B399" s="1" t="n">
        <v>45700.31226851852</v>
      </c>
      <c r="C399" s="1" t="n">
        <v>45983</v>
      </c>
      <c r="D399" t="inlineStr">
        <is>
          <t>HALLANDS LÄN</t>
        </is>
      </c>
      <c r="E399" t="inlineStr">
        <is>
          <t>HYLTE</t>
        </is>
      </c>
      <c r="G399" t="n">
        <v>2.3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46985-2025</t>
        </is>
      </c>
      <c r="B400" s="1" t="n">
        <v>45929.53550925926</v>
      </c>
      <c r="C400" s="1" t="n">
        <v>45983</v>
      </c>
      <c r="D400" t="inlineStr">
        <is>
          <t>HALLANDS LÄN</t>
        </is>
      </c>
      <c r="E400" t="inlineStr">
        <is>
          <t>HYLTE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46988-2025</t>
        </is>
      </c>
      <c r="B401" s="1" t="n">
        <v>45929.53706018518</v>
      </c>
      <c r="C401" s="1" t="n">
        <v>45983</v>
      </c>
      <c r="D401" t="inlineStr">
        <is>
          <t>HALLANDS LÄN</t>
        </is>
      </c>
      <c r="E401" t="inlineStr">
        <is>
          <t>HYLTE</t>
        </is>
      </c>
      <c r="G401" t="n">
        <v>1.4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4596-2025</t>
        </is>
      </c>
      <c r="B402" s="1" t="n">
        <v>45687.54509259259</v>
      </c>
      <c r="C402" s="1" t="n">
        <v>45983</v>
      </c>
      <c r="D402" t="inlineStr">
        <is>
          <t>HALLANDS LÄN</t>
        </is>
      </c>
      <c r="E402" t="inlineStr">
        <is>
          <t>HYLTE</t>
        </is>
      </c>
      <c r="G402" t="n">
        <v>2.1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35134-2023</t>
        </is>
      </c>
      <c r="B403" s="1" t="n">
        <v>45145.52710648148</v>
      </c>
      <c r="C403" s="1" t="n">
        <v>45983</v>
      </c>
      <c r="D403" t="inlineStr">
        <is>
          <t>HALLANDS LÄN</t>
        </is>
      </c>
      <c r="E403" t="inlineStr">
        <is>
          <t>HYLTE</t>
        </is>
      </c>
      <c r="G403" t="n">
        <v>1.2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55695-2025</t>
        </is>
      </c>
      <c r="B404" s="1" t="n">
        <v>45972.44842592593</v>
      </c>
      <c r="C404" s="1" t="n">
        <v>45983</v>
      </c>
      <c r="D404" t="inlineStr">
        <is>
          <t>HALLANDS LÄN</t>
        </is>
      </c>
      <c r="E404" t="inlineStr">
        <is>
          <t>HYLTE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46989-2025</t>
        </is>
      </c>
      <c r="B405" s="1" t="n">
        <v>45929.53883101852</v>
      </c>
      <c r="C405" s="1" t="n">
        <v>45983</v>
      </c>
      <c r="D405" t="inlineStr">
        <is>
          <t>HALLANDS LÄN</t>
        </is>
      </c>
      <c r="E405" t="inlineStr">
        <is>
          <t>HYLTE</t>
        </is>
      </c>
      <c r="G405" t="n">
        <v>2.9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8403-2021</t>
        </is>
      </c>
      <c r="B406" s="1" t="n">
        <v>44245</v>
      </c>
      <c r="C406" s="1" t="n">
        <v>45983</v>
      </c>
      <c r="D406" t="inlineStr">
        <is>
          <t>HALLANDS LÄN</t>
        </is>
      </c>
      <c r="E406" t="inlineStr">
        <is>
          <t>HYLTE</t>
        </is>
      </c>
      <c r="G406" t="n">
        <v>4.2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32444-2025</t>
        </is>
      </c>
      <c r="B407" s="1" t="n">
        <v>45838.38613425926</v>
      </c>
      <c r="C407" s="1" t="n">
        <v>45983</v>
      </c>
      <c r="D407" t="inlineStr">
        <is>
          <t>HALLANDS LÄN</t>
        </is>
      </c>
      <c r="E407" t="inlineStr">
        <is>
          <t>HYLTE</t>
        </is>
      </c>
      <c r="G407" t="n">
        <v>2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33623-2025</t>
        </is>
      </c>
      <c r="B408" s="1" t="n">
        <v>45841.63096064814</v>
      </c>
      <c r="C408" s="1" t="n">
        <v>45983</v>
      </c>
      <c r="D408" t="inlineStr">
        <is>
          <t>HALLANDS LÄN</t>
        </is>
      </c>
      <c r="E408" t="inlineStr">
        <is>
          <t>HYLTE</t>
        </is>
      </c>
      <c r="G408" t="n">
        <v>1.8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32998-2024</t>
        </is>
      </c>
      <c r="B409" s="1" t="n">
        <v>45517</v>
      </c>
      <c r="C409" s="1" t="n">
        <v>45983</v>
      </c>
      <c r="D409" t="inlineStr">
        <is>
          <t>HALLANDS LÄN</t>
        </is>
      </c>
      <c r="E409" t="inlineStr">
        <is>
          <t>HYLTE</t>
        </is>
      </c>
      <c r="G409" t="n">
        <v>0.9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23212-2025</t>
        </is>
      </c>
      <c r="B410" s="1" t="n">
        <v>45791</v>
      </c>
      <c r="C410" s="1" t="n">
        <v>45983</v>
      </c>
      <c r="D410" t="inlineStr">
        <is>
          <t>HALLANDS LÄN</t>
        </is>
      </c>
      <c r="E410" t="inlineStr">
        <is>
          <t>HYLTE</t>
        </is>
      </c>
      <c r="G410" t="n">
        <v>1.7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65126-2023</t>
        </is>
      </c>
      <c r="B411" s="1" t="n">
        <v>45288</v>
      </c>
      <c r="C411" s="1" t="n">
        <v>45983</v>
      </c>
      <c r="D411" t="inlineStr">
        <is>
          <t>HALLANDS LÄN</t>
        </is>
      </c>
      <c r="E411" t="inlineStr">
        <is>
          <t>HYLTE</t>
        </is>
      </c>
      <c r="F411" t="inlineStr">
        <is>
          <t>Kommuner</t>
        </is>
      </c>
      <c r="G411" t="n">
        <v>1.8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2094-2024</t>
        </is>
      </c>
      <c r="B412" s="1" t="n">
        <v>45309</v>
      </c>
      <c r="C412" s="1" t="n">
        <v>45983</v>
      </c>
      <c r="D412" t="inlineStr">
        <is>
          <t>HALLANDS LÄN</t>
        </is>
      </c>
      <c r="E412" t="inlineStr">
        <is>
          <t>HYLTE</t>
        </is>
      </c>
      <c r="G412" t="n">
        <v>2.7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16295-2024</t>
        </is>
      </c>
      <c r="B413" s="1" t="n">
        <v>45407</v>
      </c>
      <c r="C413" s="1" t="n">
        <v>45983</v>
      </c>
      <c r="D413" t="inlineStr">
        <is>
          <t>HALLANDS LÄN</t>
        </is>
      </c>
      <c r="E413" t="inlineStr">
        <is>
          <t>HYLTE</t>
        </is>
      </c>
      <c r="G413" t="n">
        <v>0.9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2817-2025</t>
        </is>
      </c>
      <c r="B414" s="1" t="n">
        <v>45677</v>
      </c>
      <c r="C414" s="1" t="n">
        <v>45983</v>
      </c>
      <c r="D414" t="inlineStr">
        <is>
          <t>HALLANDS LÄN</t>
        </is>
      </c>
      <c r="E414" t="inlineStr">
        <is>
          <t>HYLTE</t>
        </is>
      </c>
      <c r="G414" t="n">
        <v>1.1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54404-2024</t>
        </is>
      </c>
      <c r="B415" s="1" t="n">
        <v>45618</v>
      </c>
      <c r="C415" s="1" t="n">
        <v>45983</v>
      </c>
      <c r="D415" t="inlineStr">
        <is>
          <t>HALLANDS LÄN</t>
        </is>
      </c>
      <c r="E415" t="inlineStr">
        <is>
          <t>HYLTE</t>
        </is>
      </c>
      <c r="G415" t="n">
        <v>1.5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5372-2025</t>
        </is>
      </c>
      <c r="B416" s="1" t="n">
        <v>45692</v>
      </c>
      <c r="C416" s="1" t="n">
        <v>45983</v>
      </c>
      <c r="D416" t="inlineStr">
        <is>
          <t>HALLANDS LÄN</t>
        </is>
      </c>
      <c r="E416" t="inlineStr">
        <is>
          <t>HYLTE</t>
        </is>
      </c>
      <c r="G416" t="n">
        <v>1.1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60181-2023</t>
        </is>
      </c>
      <c r="B417" s="1" t="n">
        <v>45257</v>
      </c>
      <c r="C417" s="1" t="n">
        <v>45983</v>
      </c>
      <c r="D417" t="inlineStr">
        <is>
          <t>HALLANDS LÄN</t>
        </is>
      </c>
      <c r="E417" t="inlineStr">
        <is>
          <t>HYLTE</t>
        </is>
      </c>
      <c r="G417" t="n">
        <v>1.9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14584-2024</t>
        </is>
      </c>
      <c r="B418" s="1" t="n">
        <v>45395.39934027778</v>
      </c>
      <c r="C418" s="1" t="n">
        <v>45983</v>
      </c>
      <c r="D418" t="inlineStr">
        <is>
          <t>HALLANDS LÄN</t>
        </is>
      </c>
      <c r="E418" t="inlineStr">
        <is>
          <t>HYLTE</t>
        </is>
      </c>
      <c r="G418" t="n">
        <v>1.4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47733-2025</t>
        </is>
      </c>
      <c r="B419" s="1" t="n">
        <v>45931.6360300926</v>
      </c>
      <c r="C419" s="1" t="n">
        <v>45983</v>
      </c>
      <c r="D419" t="inlineStr">
        <is>
          <t>HALLANDS LÄN</t>
        </is>
      </c>
      <c r="E419" t="inlineStr">
        <is>
          <t>HYLTE</t>
        </is>
      </c>
      <c r="G419" t="n">
        <v>0.5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47735-2025</t>
        </is>
      </c>
      <c r="B420" s="1" t="n">
        <v>45931.63710648148</v>
      </c>
      <c r="C420" s="1" t="n">
        <v>45983</v>
      </c>
      <c r="D420" t="inlineStr">
        <is>
          <t>HALLANDS LÄN</t>
        </is>
      </c>
      <c r="E420" t="inlineStr">
        <is>
          <t>HYLTE</t>
        </is>
      </c>
      <c r="G420" t="n">
        <v>0.8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23165-2021</t>
        </is>
      </c>
      <c r="B421" s="1" t="n">
        <v>44332.88799768518</v>
      </c>
      <c r="C421" s="1" t="n">
        <v>45983</v>
      </c>
      <c r="D421" t="inlineStr">
        <is>
          <t>HALLANDS LÄN</t>
        </is>
      </c>
      <c r="E421" t="inlineStr">
        <is>
          <t>HYLTE</t>
        </is>
      </c>
      <c r="G421" t="n">
        <v>1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35452-2021</t>
        </is>
      </c>
      <c r="B422" s="1" t="n">
        <v>44384</v>
      </c>
      <c r="C422" s="1" t="n">
        <v>45983</v>
      </c>
      <c r="D422" t="inlineStr">
        <is>
          <t>HALLANDS LÄN</t>
        </is>
      </c>
      <c r="E422" t="inlineStr">
        <is>
          <t>HYLTE</t>
        </is>
      </c>
      <c r="G422" t="n">
        <v>3.5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16412-2022</t>
        </is>
      </c>
      <c r="B423" s="1" t="n">
        <v>44671</v>
      </c>
      <c r="C423" s="1" t="n">
        <v>45983</v>
      </c>
      <c r="D423" t="inlineStr">
        <is>
          <t>HALLANDS LÄN</t>
        </is>
      </c>
      <c r="E423" t="inlineStr">
        <is>
          <t>HYLTE</t>
        </is>
      </c>
      <c r="G423" t="n">
        <v>6.3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34192-2024</t>
        </is>
      </c>
      <c r="B424" s="1" t="n">
        <v>45524</v>
      </c>
      <c r="C424" s="1" t="n">
        <v>45983</v>
      </c>
      <c r="D424" t="inlineStr">
        <is>
          <t>HALLANDS LÄN</t>
        </is>
      </c>
      <c r="E424" t="inlineStr">
        <is>
          <t>HYLTE</t>
        </is>
      </c>
      <c r="G424" t="n">
        <v>2.9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63008-2023</t>
        </is>
      </c>
      <c r="B425" s="1" t="n">
        <v>45272.66641203704</v>
      </c>
      <c r="C425" s="1" t="n">
        <v>45983</v>
      </c>
      <c r="D425" t="inlineStr">
        <is>
          <t>HALLANDS LÄN</t>
        </is>
      </c>
      <c r="E425" t="inlineStr">
        <is>
          <t>HYLTE</t>
        </is>
      </c>
      <c r="G425" t="n">
        <v>0.6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34197-2024</t>
        </is>
      </c>
      <c r="B426" s="1" t="n">
        <v>45524</v>
      </c>
      <c r="C426" s="1" t="n">
        <v>45983</v>
      </c>
      <c r="D426" t="inlineStr">
        <is>
          <t>HALLANDS LÄN</t>
        </is>
      </c>
      <c r="E426" t="inlineStr">
        <is>
          <t>HYLTE</t>
        </is>
      </c>
      <c r="G426" t="n">
        <v>2.6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34198-2024</t>
        </is>
      </c>
      <c r="B427" s="1" t="n">
        <v>45524</v>
      </c>
      <c r="C427" s="1" t="n">
        <v>45983</v>
      </c>
      <c r="D427" t="inlineStr">
        <is>
          <t>HALLANDS LÄN</t>
        </is>
      </c>
      <c r="E427" t="inlineStr">
        <is>
          <t>HYLTE</t>
        </is>
      </c>
      <c r="G427" t="n">
        <v>1.7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61900-2020</t>
        </is>
      </c>
      <c r="B428" s="1" t="n">
        <v>44159</v>
      </c>
      <c r="C428" s="1" t="n">
        <v>45983</v>
      </c>
      <c r="D428" t="inlineStr">
        <is>
          <t>HALLANDS LÄN</t>
        </is>
      </c>
      <c r="E428" t="inlineStr">
        <is>
          <t>HYLTE</t>
        </is>
      </c>
      <c r="G428" t="n">
        <v>1.1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7220-2021</t>
        </is>
      </c>
      <c r="B429" s="1" t="n">
        <v>44238</v>
      </c>
      <c r="C429" s="1" t="n">
        <v>45983</v>
      </c>
      <c r="D429" t="inlineStr">
        <is>
          <t>HALLANDS LÄN</t>
        </is>
      </c>
      <c r="E429" t="inlineStr">
        <is>
          <t>HYLTE</t>
        </is>
      </c>
      <c r="G429" t="n">
        <v>1.1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57383-2021</t>
        </is>
      </c>
      <c r="B430" s="1" t="n">
        <v>44483</v>
      </c>
      <c r="C430" s="1" t="n">
        <v>45983</v>
      </c>
      <c r="D430" t="inlineStr">
        <is>
          <t>HALLANDS LÄN</t>
        </is>
      </c>
      <c r="E430" t="inlineStr">
        <is>
          <t>HYLTE</t>
        </is>
      </c>
      <c r="G430" t="n">
        <v>1.8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67309-2020</t>
        </is>
      </c>
      <c r="B431" s="1" t="n">
        <v>44180</v>
      </c>
      <c r="C431" s="1" t="n">
        <v>45983</v>
      </c>
      <c r="D431" t="inlineStr">
        <is>
          <t>HALLANDS LÄN</t>
        </is>
      </c>
      <c r="E431" t="inlineStr">
        <is>
          <t>HYLTE</t>
        </is>
      </c>
      <c r="G431" t="n">
        <v>2.3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58241-2023</t>
        </is>
      </c>
      <c r="B432" s="1" t="n">
        <v>45245</v>
      </c>
      <c r="C432" s="1" t="n">
        <v>45983</v>
      </c>
      <c r="D432" t="inlineStr">
        <is>
          <t>HALLANDS LÄN</t>
        </is>
      </c>
      <c r="E432" t="inlineStr">
        <is>
          <t>HYLTE</t>
        </is>
      </c>
      <c r="G432" t="n">
        <v>0.8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5598-2021</t>
        </is>
      </c>
      <c r="B433" s="1" t="n">
        <v>44230</v>
      </c>
      <c r="C433" s="1" t="n">
        <v>45983</v>
      </c>
      <c r="D433" t="inlineStr">
        <is>
          <t>HALLANDS LÄN</t>
        </is>
      </c>
      <c r="E433" t="inlineStr">
        <is>
          <t>HYLTE</t>
        </is>
      </c>
      <c r="G433" t="n">
        <v>1.3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61896-2020</t>
        </is>
      </c>
      <c r="B434" s="1" t="n">
        <v>44159</v>
      </c>
      <c r="C434" s="1" t="n">
        <v>45983</v>
      </c>
      <c r="D434" t="inlineStr">
        <is>
          <t>HALLANDS LÄN</t>
        </is>
      </c>
      <c r="E434" t="inlineStr">
        <is>
          <t>HYLTE</t>
        </is>
      </c>
      <c r="G434" t="n">
        <v>4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3262-2025</t>
        </is>
      </c>
      <c r="B435" s="1" t="n">
        <v>45679</v>
      </c>
      <c r="C435" s="1" t="n">
        <v>45983</v>
      </c>
      <c r="D435" t="inlineStr">
        <is>
          <t>HALLANDS LÄN</t>
        </is>
      </c>
      <c r="E435" t="inlineStr">
        <is>
          <t>HYLTE</t>
        </is>
      </c>
      <c r="G435" t="n">
        <v>2.1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47698-2025</t>
        </is>
      </c>
      <c r="B436" s="1" t="n">
        <v>45931.600625</v>
      </c>
      <c r="C436" s="1" t="n">
        <v>45983</v>
      </c>
      <c r="D436" t="inlineStr">
        <is>
          <t>HALLANDS LÄN</t>
        </is>
      </c>
      <c r="E436" t="inlineStr">
        <is>
          <t>HYLTE</t>
        </is>
      </c>
      <c r="G436" t="n">
        <v>1.6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22875-2025</t>
        </is>
      </c>
      <c r="B437" s="1" t="n">
        <v>45790.37271990741</v>
      </c>
      <c r="C437" s="1" t="n">
        <v>45983</v>
      </c>
      <c r="D437" t="inlineStr">
        <is>
          <t>HALLANDS LÄN</t>
        </is>
      </c>
      <c r="E437" t="inlineStr">
        <is>
          <t>HYLTE</t>
        </is>
      </c>
      <c r="G437" t="n">
        <v>1.7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52742-2024</t>
        </is>
      </c>
      <c r="B438" s="1" t="n">
        <v>45610</v>
      </c>
      <c r="C438" s="1" t="n">
        <v>45983</v>
      </c>
      <c r="D438" t="inlineStr">
        <is>
          <t>HALLANDS LÄN</t>
        </is>
      </c>
      <c r="E438" t="inlineStr">
        <is>
          <t>HYLTE</t>
        </is>
      </c>
      <c r="G438" t="n">
        <v>2.2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24919-2025</t>
        </is>
      </c>
      <c r="B439" s="1" t="n">
        <v>45799</v>
      </c>
      <c r="C439" s="1" t="n">
        <v>45983</v>
      </c>
      <c r="D439" t="inlineStr">
        <is>
          <t>HALLANDS LÄN</t>
        </is>
      </c>
      <c r="E439" t="inlineStr">
        <is>
          <t>HYLTE</t>
        </is>
      </c>
      <c r="G439" t="n">
        <v>2.4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19675-2024</t>
        </is>
      </c>
      <c r="B440" s="1" t="n">
        <v>45432</v>
      </c>
      <c r="C440" s="1" t="n">
        <v>45983</v>
      </c>
      <c r="D440" t="inlineStr">
        <is>
          <t>HALLANDS LÄN</t>
        </is>
      </c>
      <c r="E440" t="inlineStr">
        <is>
          <t>HYLTE</t>
        </is>
      </c>
      <c r="G440" t="n">
        <v>2.3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22424-2021</t>
        </is>
      </c>
      <c r="B441" s="1" t="n">
        <v>44322</v>
      </c>
      <c r="C441" s="1" t="n">
        <v>45983</v>
      </c>
      <c r="D441" t="inlineStr">
        <is>
          <t>HALLANDS LÄN</t>
        </is>
      </c>
      <c r="E441" t="inlineStr">
        <is>
          <t>HYLTE</t>
        </is>
      </c>
      <c r="G441" t="n">
        <v>1.7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23206-2025</t>
        </is>
      </c>
      <c r="B442" s="1" t="n">
        <v>45791</v>
      </c>
      <c r="C442" s="1" t="n">
        <v>45983</v>
      </c>
      <c r="D442" t="inlineStr">
        <is>
          <t>HALLANDS LÄN</t>
        </is>
      </c>
      <c r="E442" t="inlineStr">
        <is>
          <t>HYLTE</t>
        </is>
      </c>
      <c r="G442" t="n">
        <v>1.2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22184-2022</t>
        </is>
      </c>
      <c r="B443" s="1" t="n">
        <v>44712</v>
      </c>
      <c r="C443" s="1" t="n">
        <v>45983</v>
      </c>
      <c r="D443" t="inlineStr">
        <is>
          <t>HALLANDS LÄN</t>
        </is>
      </c>
      <c r="E443" t="inlineStr">
        <is>
          <t>HYLTE</t>
        </is>
      </c>
      <c r="G443" t="n">
        <v>1.2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34337-2023</t>
        </is>
      </c>
      <c r="B444" s="1" t="n">
        <v>45131</v>
      </c>
      <c r="C444" s="1" t="n">
        <v>45983</v>
      </c>
      <c r="D444" t="inlineStr">
        <is>
          <t>HALLANDS LÄN</t>
        </is>
      </c>
      <c r="E444" t="inlineStr">
        <is>
          <t>HYLTE</t>
        </is>
      </c>
      <c r="G444" t="n">
        <v>1.6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42582-2023</t>
        </is>
      </c>
      <c r="B445" s="1" t="n">
        <v>45176</v>
      </c>
      <c r="C445" s="1" t="n">
        <v>45983</v>
      </c>
      <c r="D445" t="inlineStr">
        <is>
          <t>HALLANDS LÄN</t>
        </is>
      </c>
      <c r="E445" t="inlineStr">
        <is>
          <t>HYLTE</t>
        </is>
      </c>
      <c r="G445" t="n">
        <v>4.7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11403-2024</t>
        </is>
      </c>
      <c r="B446" s="1" t="n">
        <v>45372</v>
      </c>
      <c r="C446" s="1" t="n">
        <v>45983</v>
      </c>
      <c r="D446" t="inlineStr">
        <is>
          <t>HALLANDS LÄN</t>
        </is>
      </c>
      <c r="E446" t="inlineStr">
        <is>
          <t>HYLTE</t>
        </is>
      </c>
      <c r="G446" t="n">
        <v>3.5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11406-2024</t>
        </is>
      </c>
      <c r="B447" s="1" t="n">
        <v>45372</v>
      </c>
      <c r="C447" s="1" t="n">
        <v>45983</v>
      </c>
      <c r="D447" t="inlineStr">
        <is>
          <t>HALLANDS LÄN</t>
        </is>
      </c>
      <c r="E447" t="inlineStr">
        <is>
          <t>HYLTE</t>
        </is>
      </c>
      <c r="G447" t="n">
        <v>1.4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9613-2024</t>
        </is>
      </c>
      <c r="B448" s="1" t="n">
        <v>45361.72229166667</v>
      </c>
      <c r="C448" s="1" t="n">
        <v>45983</v>
      </c>
      <c r="D448" t="inlineStr">
        <is>
          <t>HALLANDS LÄN</t>
        </is>
      </c>
      <c r="E448" t="inlineStr">
        <is>
          <t>HYLTE</t>
        </is>
      </c>
      <c r="G448" t="n">
        <v>1.1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37752-2024</t>
        </is>
      </c>
      <c r="B449" s="1" t="n">
        <v>45541</v>
      </c>
      <c r="C449" s="1" t="n">
        <v>45983</v>
      </c>
      <c r="D449" t="inlineStr">
        <is>
          <t>HALLANDS LÄN</t>
        </is>
      </c>
      <c r="E449" t="inlineStr">
        <is>
          <t>HYLTE</t>
        </is>
      </c>
      <c r="G449" t="n">
        <v>5.5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60176-2023</t>
        </is>
      </c>
      <c r="B450" s="1" t="n">
        <v>45257</v>
      </c>
      <c r="C450" s="1" t="n">
        <v>45983</v>
      </c>
      <c r="D450" t="inlineStr">
        <is>
          <t>HALLANDS LÄN</t>
        </is>
      </c>
      <c r="E450" t="inlineStr">
        <is>
          <t>HYLTE</t>
        </is>
      </c>
      <c r="F450" t="inlineStr">
        <is>
          <t>Kommuner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22809-2021</t>
        </is>
      </c>
      <c r="B451" s="1" t="n">
        <v>44322</v>
      </c>
      <c r="C451" s="1" t="n">
        <v>45983</v>
      </c>
      <c r="D451" t="inlineStr">
        <is>
          <t>HALLANDS LÄN</t>
        </is>
      </c>
      <c r="E451" t="inlineStr">
        <is>
          <t>HYLTE</t>
        </is>
      </c>
      <c r="G451" t="n">
        <v>2.1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11743-2025</t>
        </is>
      </c>
      <c r="B452" s="1" t="n">
        <v>45727</v>
      </c>
      <c r="C452" s="1" t="n">
        <v>45983</v>
      </c>
      <c r="D452" t="inlineStr">
        <is>
          <t>HALLANDS LÄN</t>
        </is>
      </c>
      <c r="E452" t="inlineStr">
        <is>
          <t>HYLTE</t>
        </is>
      </c>
      <c r="G452" t="n">
        <v>1.8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61843-2022</t>
        </is>
      </c>
      <c r="B453" s="1" t="n">
        <v>44917.60630787037</v>
      </c>
      <c r="C453" s="1" t="n">
        <v>45983</v>
      </c>
      <c r="D453" t="inlineStr">
        <is>
          <t>HALLANDS LÄN</t>
        </is>
      </c>
      <c r="E453" t="inlineStr">
        <is>
          <t>HYLTE</t>
        </is>
      </c>
      <c r="G453" t="n">
        <v>1.6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810-2025</t>
        </is>
      </c>
      <c r="B454" s="1" t="n">
        <v>45665.55378472222</v>
      </c>
      <c r="C454" s="1" t="n">
        <v>45983</v>
      </c>
      <c r="D454" t="inlineStr">
        <is>
          <t>HALLANDS LÄN</t>
        </is>
      </c>
      <c r="E454" t="inlineStr">
        <is>
          <t>HYLTE</t>
        </is>
      </c>
      <c r="G454" t="n">
        <v>4.1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13232-2025</t>
        </is>
      </c>
      <c r="B455" s="1" t="n">
        <v>45735</v>
      </c>
      <c r="C455" s="1" t="n">
        <v>45983</v>
      </c>
      <c r="D455" t="inlineStr">
        <is>
          <t>HALLANDS LÄN</t>
        </is>
      </c>
      <c r="E455" t="inlineStr">
        <is>
          <t>HYLTE</t>
        </is>
      </c>
      <c r="G455" t="n">
        <v>1.5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2016-2025</t>
        </is>
      </c>
      <c r="B456" s="1" t="n">
        <v>45672</v>
      </c>
      <c r="C456" s="1" t="n">
        <v>45983</v>
      </c>
      <c r="D456" t="inlineStr">
        <is>
          <t>HALLANDS LÄN</t>
        </is>
      </c>
      <c r="E456" t="inlineStr">
        <is>
          <t>HYLTE</t>
        </is>
      </c>
      <c r="G456" t="n">
        <v>7.4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48044-2023</t>
        </is>
      </c>
      <c r="B457" s="1" t="n">
        <v>45204.83961805556</v>
      </c>
      <c r="C457" s="1" t="n">
        <v>45983</v>
      </c>
      <c r="D457" t="inlineStr">
        <is>
          <t>HALLANDS LÄN</t>
        </is>
      </c>
      <c r="E457" t="inlineStr">
        <is>
          <t>HYLTE</t>
        </is>
      </c>
      <c r="G457" t="n">
        <v>0.6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53-2024</t>
        </is>
      </c>
      <c r="B458" s="1" t="n">
        <v>45293</v>
      </c>
      <c r="C458" s="1" t="n">
        <v>45983</v>
      </c>
      <c r="D458" t="inlineStr">
        <is>
          <t>HALLANDS LÄN</t>
        </is>
      </c>
      <c r="E458" t="inlineStr">
        <is>
          <t>HYLTE</t>
        </is>
      </c>
      <c r="G458" t="n">
        <v>0.8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57378-2023</t>
        </is>
      </c>
      <c r="B459" s="1" t="n">
        <v>45245</v>
      </c>
      <c r="C459" s="1" t="n">
        <v>45983</v>
      </c>
      <c r="D459" t="inlineStr">
        <is>
          <t>HALLANDS LÄN</t>
        </is>
      </c>
      <c r="E459" t="inlineStr">
        <is>
          <t>HYLTE</t>
        </is>
      </c>
      <c r="G459" t="n">
        <v>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61891-2020</t>
        </is>
      </c>
      <c r="B460" s="1" t="n">
        <v>44159.38509259259</v>
      </c>
      <c r="C460" s="1" t="n">
        <v>45983</v>
      </c>
      <c r="D460" t="inlineStr">
        <is>
          <t>HALLANDS LÄN</t>
        </is>
      </c>
      <c r="E460" t="inlineStr">
        <is>
          <t>HYLTE</t>
        </is>
      </c>
      <c r="G460" t="n">
        <v>0.7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24724-2021</t>
        </is>
      </c>
      <c r="B461" s="1" t="n">
        <v>44340</v>
      </c>
      <c r="C461" s="1" t="n">
        <v>45983</v>
      </c>
      <c r="D461" t="inlineStr">
        <is>
          <t>HALLANDS LÄN</t>
        </is>
      </c>
      <c r="E461" t="inlineStr">
        <is>
          <t>HYLTE</t>
        </is>
      </c>
      <c r="G461" t="n">
        <v>1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16410-2022</t>
        </is>
      </c>
      <c r="B462" s="1" t="n">
        <v>44671</v>
      </c>
      <c r="C462" s="1" t="n">
        <v>45983</v>
      </c>
      <c r="D462" t="inlineStr">
        <is>
          <t>HALLANDS LÄN</t>
        </is>
      </c>
      <c r="E462" t="inlineStr">
        <is>
          <t>HYLTE</t>
        </is>
      </c>
      <c r="G462" t="n">
        <v>3.1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57420-2022</t>
        </is>
      </c>
      <c r="B463" s="1" t="n">
        <v>44896.50284722223</v>
      </c>
      <c r="C463" s="1" t="n">
        <v>45983</v>
      </c>
      <c r="D463" t="inlineStr">
        <is>
          <t>HALLANDS LÄN</t>
        </is>
      </c>
      <c r="E463" t="inlineStr">
        <is>
          <t>HYLTE</t>
        </is>
      </c>
      <c r="G463" t="n">
        <v>1.5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4757-2022</t>
        </is>
      </c>
      <c r="B464" s="1" t="n">
        <v>44592</v>
      </c>
      <c r="C464" s="1" t="n">
        <v>45983</v>
      </c>
      <c r="D464" t="inlineStr">
        <is>
          <t>HALLANDS LÄN</t>
        </is>
      </c>
      <c r="E464" t="inlineStr">
        <is>
          <t>HYLTE</t>
        </is>
      </c>
      <c r="G464" t="n">
        <v>2.4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47754-2025</t>
        </is>
      </c>
      <c r="B465" s="1" t="n">
        <v>45931.66429398148</v>
      </c>
      <c r="C465" s="1" t="n">
        <v>45983</v>
      </c>
      <c r="D465" t="inlineStr">
        <is>
          <t>HALLANDS LÄN</t>
        </is>
      </c>
      <c r="E465" t="inlineStr">
        <is>
          <t>HYLTE</t>
        </is>
      </c>
      <c r="G465" t="n">
        <v>0.8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55-2024</t>
        </is>
      </c>
      <c r="B466" s="1" t="n">
        <v>45293</v>
      </c>
      <c r="C466" s="1" t="n">
        <v>45983</v>
      </c>
      <c r="D466" t="inlineStr">
        <is>
          <t>HALLANDS LÄN</t>
        </is>
      </c>
      <c r="E466" t="inlineStr">
        <is>
          <t>HYLTE</t>
        </is>
      </c>
      <c r="G466" t="n">
        <v>1.3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55861-2024</t>
        </is>
      </c>
      <c r="B467" s="1" t="n">
        <v>45623</v>
      </c>
      <c r="C467" s="1" t="n">
        <v>45983</v>
      </c>
      <c r="D467" t="inlineStr">
        <is>
          <t>HALLANDS LÄN</t>
        </is>
      </c>
      <c r="E467" t="inlineStr">
        <is>
          <t>HYLTE</t>
        </is>
      </c>
      <c r="G467" t="n">
        <v>0.7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46846-2023</t>
        </is>
      </c>
      <c r="B468" s="1" t="n">
        <v>45199.83810185185</v>
      </c>
      <c r="C468" s="1" t="n">
        <v>45983</v>
      </c>
      <c r="D468" t="inlineStr">
        <is>
          <t>HALLANDS LÄN</t>
        </is>
      </c>
      <c r="E468" t="inlineStr">
        <is>
          <t>HYLTE</t>
        </is>
      </c>
      <c r="G468" t="n">
        <v>2.1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19353-2025</t>
        </is>
      </c>
      <c r="B469" s="1" t="n">
        <v>45769.61311342593</v>
      </c>
      <c r="C469" s="1" t="n">
        <v>45983</v>
      </c>
      <c r="D469" t="inlineStr">
        <is>
          <t>HALLANDS LÄN</t>
        </is>
      </c>
      <c r="E469" t="inlineStr">
        <is>
          <t>HYLTE</t>
        </is>
      </c>
      <c r="G469" t="n">
        <v>2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59618-2024</t>
        </is>
      </c>
      <c r="B470" s="1" t="n">
        <v>45638.80822916667</v>
      </c>
      <c r="C470" s="1" t="n">
        <v>45983</v>
      </c>
      <c r="D470" t="inlineStr">
        <is>
          <t>HALLANDS LÄN</t>
        </is>
      </c>
      <c r="E470" t="inlineStr">
        <is>
          <t>HYLTE</t>
        </is>
      </c>
      <c r="G470" t="n">
        <v>1.9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14015-2024</t>
        </is>
      </c>
      <c r="B471" s="1" t="n">
        <v>45392</v>
      </c>
      <c r="C471" s="1" t="n">
        <v>45983</v>
      </c>
      <c r="D471" t="inlineStr">
        <is>
          <t>HALLANDS LÄN</t>
        </is>
      </c>
      <c r="E471" t="inlineStr">
        <is>
          <t>HYLTE</t>
        </is>
      </c>
      <c r="G471" t="n">
        <v>1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14585-2024</t>
        </is>
      </c>
      <c r="B472" s="1" t="n">
        <v>45395.4019675926</v>
      </c>
      <c r="C472" s="1" t="n">
        <v>45983</v>
      </c>
      <c r="D472" t="inlineStr">
        <is>
          <t>HALLANDS LÄN</t>
        </is>
      </c>
      <c r="E472" t="inlineStr">
        <is>
          <t>HYLTE</t>
        </is>
      </c>
      <c r="G472" t="n">
        <v>1.8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47998-2024</t>
        </is>
      </c>
      <c r="B473" s="1" t="n">
        <v>45589</v>
      </c>
      <c r="C473" s="1" t="n">
        <v>45983</v>
      </c>
      <c r="D473" t="inlineStr">
        <is>
          <t>HALLANDS LÄN</t>
        </is>
      </c>
      <c r="E473" t="inlineStr">
        <is>
          <t>HYLTE</t>
        </is>
      </c>
      <c r="G473" t="n">
        <v>2.3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38381-2024</t>
        </is>
      </c>
      <c r="B474" s="1" t="n">
        <v>45546.28277777778</v>
      </c>
      <c r="C474" s="1" t="n">
        <v>45983</v>
      </c>
      <c r="D474" t="inlineStr">
        <is>
          <t>HALLANDS LÄN</t>
        </is>
      </c>
      <c r="E474" t="inlineStr">
        <is>
          <t>HYLTE</t>
        </is>
      </c>
      <c r="G474" t="n">
        <v>3.2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26600-2022</t>
        </is>
      </c>
      <c r="B475" s="1" t="n">
        <v>44739.55142361111</v>
      </c>
      <c r="C475" s="1" t="n">
        <v>45983</v>
      </c>
      <c r="D475" t="inlineStr">
        <is>
          <t>HALLANDS LÄN</t>
        </is>
      </c>
      <c r="E475" t="inlineStr">
        <is>
          <t>HYLTE</t>
        </is>
      </c>
      <c r="G475" t="n">
        <v>0.6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2011-2021</t>
        </is>
      </c>
      <c r="B476" s="1" t="n">
        <v>44210</v>
      </c>
      <c r="C476" s="1" t="n">
        <v>45983</v>
      </c>
      <c r="D476" t="inlineStr">
        <is>
          <t>HALLANDS LÄN</t>
        </is>
      </c>
      <c r="E476" t="inlineStr">
        <is>
          <t>HYLTE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20879-2022</t>
        </is>
      </c>
      <c r="B477" s="1" t="n">
        <v>44701.5594212963</v>
      </c>
      <c r="C477" s="1" t="n">
        <v>45983</v>
      </c>
      <c r="D477" t="inlineStr">
        <is>
          <t>HALLANDS LÄN</t>
        </is>
      </c>
      <c r="E477" t="inlineStr">
        <is>
          <t>HYLTE</t>
        </is>
      </c>
      <c r="G477" t="n">
        <v>1.1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35175-2023</t>
        </is>
      </c>
      <c r="B478" s="1" t="n">
        <v>45145.58725694445</v>
      </c>
      <c r="C478" s="1" t="n">
        <v>45983</v>
      </c>
      <c r="D478" t="inlineStr">
        <is>
          <t>HALLANDS LÄN</t>
        </is>
      </c>
      <c r="E478" t="inlineStr">
        <is>
          <t>HYLTE</t>
        </is>
      </c>
      <c r="G478" t="n">
        <v>1.7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32992-2024</t>
        </is>
      </c>
      <c r="B479" s="1" t="n">
        <v>45517</v>
      </c>
      <c r="C479" s="1" t="n">
        <v>45983</v>
      </c>
      <c r="D479" t="inlineStr">
        <is>
          <t>HALLANDS LÄN</t>
        </is>
      </c>
      <c r="E479" t="inlineStr">
        <is>
          <t>HYLTE</t>
        </is>
      </c>
      <c r="G479" t="n">
        <v>2.6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55116-2023</t>
        </is>
      </c>
      <c r="B480" s="1" t="n">
        <v>45230</v>
      </c>
      <c r="C480" s="1" t="n">
        <v>45983</v>
      </c>
      <c r="D480" t="inlineStr">
        <is>
          <t>HALLANDS LÄN</t>
        </is>
      </c>
      <c r="E480" t="inlineStr">
        <is>
          <t>HYLTE</t>
        </is>
      </c>
      <c r="G480" t="n">
        <v>1.7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2819-2025</t>
        </is>
      </c>
      <c r="B481" s="1" t="n">
        <v>45677</v>
      </c>
      <c r="C481" s="1" t="n">
        <v>45983</v>
      </c>
      <c r="D481" t="inlineStr">
        <is>
          <t>HALLANDS LÄN</t>
        </is>
      </c>
      <c r="E481" t="inlineStr">
        <is>
          <t>HYLTE</t>
        </is>
      </c>
      <c r="G481" t="n">
        <v>1.2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2154-2025</t>
        </is>
      </c>
      <c r="B482" s="1" t="n">
        <v>45672.70796296297</v>
      </c>
      <c r="C482" s="1" t="n">
        <v>45983</v>
      </c>
      <c r="D482" t="inlineStr">
        <is>
          <t>HALLANDS LÄN</t>
        </is>
      </c>
      <c r="E482" t="inlineStr">
        <is>
          <t>HYLTE</t>
        </is>
      </c>
      <c r="G482" t="n">
        <v>1.7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2155-2025</t>
        </is>
      </c>
      <c r="B483" s="1" t="n">
        <v>45672.70996527778</v>
      </c>
      <c r="C483" s="1" t="n">
        <v>45983</v>
      </c>
      <c r="D483" t="inlineStr">
        <is>
          <t>HALLANDS LÄN</t>
        </is>
      </c>
      <c r="E483" t="inlineStr">
        <is>
          <t>HYLTE</t>
        </is>
      </c>
      <c r="G483" t="n">
        <v>0.8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57397-2021</t>
        </is>
      </c>
      <c r="B484" s="1" t="n">
        <v>44483</v>
      </c>
      <c r="C484" s="1" t="n">
        <v>45983</v>
      </c>
      <c r="D484" t="inlineStr">
        <is>
          <t>HALLANDS LÄN</t>
        </is>
      </c>
      <c r="E484" t="inlineStr">
        <is>
          <t>HYLTE</t>
        </is>
      </c>
      <c r="G484" t="n">
        <v>1.1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55792-2021</t>
        </is>
      </c>
      <c r="B485" s="1" t="n">
        <v>44476</v>
      </c>
      <c r="C485" s="1" t="n">
        <v>45983</v>
      </c>
      <c r="D485" t="inlineStr">
        <is>
          <t>HALLANDS LÄN</t>
        </is>
      </c>
      <c r="E485" t="inlineStr">
        <is>
          <t>HYLTE</t>
        </is>
      </c>
      <c r="G485" t="n">
        <v>1.1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6106-2023</t>
        </is>
      </c>
      <c r="B486" s="1" t="n">
        <v>44964</v>
      </c>
      <c r="C486" s="1" t="n">
        <v>45983</v>
      </c>
      <c r="D486" t="inlineStr">
        <is>
          <t>HALLANDS LÄN</t>
        </is>
      </c>
      <c r="E486" t="inlineStr">
        <is>
          <t>HYLTE</t>
        </is>
      </c>
      <c r="G486" t="n">
        <v>2.7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13245-2025</t>
        </is>
      </c>
      <c r="B487" s="1" t="n">
        <v>45735</v>
      </c>
      <c r="C487" s="1" t="n">
        <v>45983</v>
      </c>
      <c r="D487" t="inlineStr">
        <is>
          <t>HALLANDS LÄN</t>
        </is>
      </c>
      <c r="E487" t="inlineStr">
        <is>
          <t>HYLTE</t>
        </is>
      </c>
      <c r="G487" t="n">
        <v>0.8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26602-2022</t>
        </is>
      </c>
      <c r="B488" s="1" t="n">
        <v>44739.55359953704</v>
      </c>
      <c r="C488" s="1" t="n">
        <v>45983</v>
      </c>
      <c r="D488" t="inlineStr">
        <is>
          <t>HALLANDS LÄN</t>
        </is>
      </c>
      <c r="E488" t="inlineStr">
        <is>
          <t>HYLTE</t>
        </is>
      </c>
      <c r="G488" t="n">
        <v>0.5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2088-2024</t>
        </is>
      </c>
      <c r="B489" s="1" t="n">
        <v>45309</v>
      </c>
      <c r="C489" s="1" t="n">
        <v>45983</v>
      </c>
      <c r="D489" t="inlineStr">
        <is>
          <t>HALLANDS LÄN</t>
        </is>
      </c>
      <c r="E489" t="inlineStr">
        <is>
          <t>HYLTE</t>
        </is>
      </c>
      <c r="G489" t="n">
        <v>8.1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63808-2021</t>
        </is>
      </c>
      <c r="B490" s="1" t="n">
        <v>44508</v>
      </c>
      <c r="C490" s="1" t="n">
        <v>45983</v>
      </c>
      <c r="D490" t="inlineStr">
        <is>
          <t>HALLANDS LÄN</t>
        </is>
      </c>
      <c r="E490" t="inlineStr">
        <is>
          <t>HYLTE</t>
        </is>
      </c>
      <c r="G490" t="n">
        <v>0.8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55865-2024</t>
        </is>
      </c>
      <c r="B491" s="1" t="n">
        <v>45623</v>
      </c>
      <c r="C491" s="1" t="n">
        <v>45983</v>
      </c>
      <c r="D491" t="inlineStr">
        <is>
          <t>HALLANDS LÄN</t>
        </is>
      </c>
      <c r="E491" t="inlineStr">
        <is>
          <t>HYLTE</t>
        </is>
      </c>
      <c r="G491" t="n">
        <v>1.3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59353-2023</t>
        </is>
      </c>
      <c r="B492" s="1" t="n">
        <v>45252</v>
      </c>
      <c r="C492" s="1" t="n">
        <v>45983</v>
      </c>
      <c r="D492" t="inlineStr">
        <is>
          <t>HALLANDS LÄN</t>
        </is>
      </c>
      <c r="E492" t="inlineStr">
        <is>
          <t>HYLTE</t>
        </is>
      </c>
      <c r="G492" t="n">
        <v>0.8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47996-2024</t>
        </is>
      </c>
      <c r="B493" s="1" t="n">
        <v>45589</v>
      </c>
      <c r="C493" s="1" t="n">
        <v>45983</v>
      </c>
      <c r="D493" t="inlineStr">
        <is>
          <t>HALLANDS LÄN</t>
        </is>
      </c>
      <c r="E493" t="inlineStr">
        <is>
          <t>HYLTE</t>
        </is>
      </c>
      <c r="G493" t="n">
        <v>4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44866-2023</t>
        </is>
      </c>
      <c r="B494" s="1" t="n">
        <v>45190.59511574074</v>
      </c>
      <c r="C494" s="1" t="n">
        <v>45983</v>
      </c>
      <c r="D494" t="inlineStr">
        <is>
          <t>HALLANDS LÄN</t>
        </is>
      </c>
      <c r="E494" t="inlineStr">
        <is>
          <t>HYLTE</t>
        </is>
      </c>
      <c r="G494" t="n">
        <v>1.4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48008-2024</t>
        </is>
      </c>
      <c r="B495" s="1" t="n">
        <v>45589</v>
      </c>
      <c r="C495" s="1" t="n">
        <v>45983</v>
      </c>
      <c r="D495" t="inlineStr">
        <is>
          <t>HALLANDS LÄN</t>
        </is>
      </c>
      <c r="E495" t="inlineStr">
        <is>
          <t>HYLTE</t>
        </is>
      </c>
      <c r="G495" t="n">
        <v>1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41892-2024</t>
        </is>
      </c>
      <c r="B496" s="1" t="n">
        <v>45561</v>
      </c>
      <c r="C496" s="1" t="n">
        <v>45983</v>
      </c>
      <c r="D496" t="inlineStr">
        <is>
          <t>HALLANDS LÄN</t>
        </is>
      </c>
      <c r="E496" t="inlineStr">
        <is>
          <t>HYLTE</t>
        </is>
      </c>
      <c r="G496" t="n">
        <v>4.3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28564-2025</t>
        </is>
      </c>
      <c r="B497" s="1" t="n">
        <v>45819</v>
      </c>
      <c r="C497" s="1" t="n">
        <v>45983</v>
      </c>
      <c r="D497" t="inlineStr">
        <is>
          <t>HALLANDS LÄN</t>
        </is>
      </c>
      <c r="E497" t="inlineStr">
        <is>
          <t>HYLTE</t>
        </is>
      </c>
      <c r="G497" t="n">
        <v>0.8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39143-2022</t>
        </is>
      </c>
      <c r="B498" s="1" t="n">
        <v>44817</v>
      </c>
      <c r="C498" s="1" t="n">
        <v>45983</v>
      </c>
      <c r="D498" t="inlineStr">
        <is>
          <t>HALLANDS LÄN</t>
        </is>
      </c>
      <c r="E498" t="inlineStr">
        <is>
          <t>HYLTE</t>
        </is>
      </c>
      <c r="G498" t="n">
        <v>1.9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44551-2024</t>
        </is>
      </c>
      <c r="B499" s="1" t="n">
        <v>45574</v>
      </c>
      <c r="C499" s="1" t="n">
        <v>45983</v>
      </c>
      <c r="D499" t="inlineStr">
        <is>
          <t>HALLANDS LÄN</t>
        </is>
      </c>
      <c r="E499" t="inlineStr">
        <is>
          <t>HYLTE</t>
        </is>
      </c>
      <c r="G499" t="n">
        <v>13.3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51296-2024</t>
        </is>
      </c>
      <c r="B500" s="1" t="n">
        <v>45603</v>
      </c>
      <c r="C500" s="1" t="n">
        <v>45983</v>
      </c>
      <c r="D500" t="inlineStr">
        <is>
          <t>HALLANDS LÄN</t>
        </is>
      </c>
      <c r="E500" t="inlineStr">
        <is>
          <t>HYLTE</t>
        </is>
      </c>
      <c r="G500" t="n">
        <v>1.1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38372-2024</t>
        </is>
      </c>
      <c r="B501" s="1" t="n">
        <v>45545.86592592593</v>
      </c>
      <c r="C501" s="1" t="n">
        <v>45983</v>
      </c>
      <c r="D501" t="inlineStr">
        <is>
          <t>HALLANDS LÄN</t>
        </is>
      </c>
      <c r="E501" t="inlineStr">
        <is>
          <t>HYLTE</t>
        </is>
      </c>
      <c r="G501" t="n">
        <v>0.5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43261-2024</t>
        </is>
      </c>
      <c r="B502" s="1" t="n">
        <v>45568.36644675926</v>
      </c>
      <c r="C502" s="1" t="n">
        <v>45983</v>
      </c>
      <c r="D502" t="inlineStr">
        <is>
          <t>HALLANDS LÄN</t>
        </is>
      </c>
      <c r="E502" t="inlineStr">
        <is>
          <t>HYLTE</t>
        </is>
      </c>
      <c r="G502" t="n">
        <v>1.5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46845-2023</t>
        </is>
      </c>
      <c r="B503" s="1" t="n">
        <v>45199.83545138889</v>
      </c>
      <c r="C503" s="1" t="n">
        <v>45983</v>
      </c>
      <c r="D503" t="inlineStr">
        <is>
          <t>HALLANDS LÄN</t>
        </is>
      </c>
      <c r="E503" t="inlineStr">
        <is>
          <t>HYLTE</t>
        </is>
      </c>
      <c r="G503" t="n">
        <v>2.1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46148-2023</t>
        </is>
      </c>
      <c r="B504" s="1" t="n">
        <v>45190</v>
      </c>
      <c r="C504" s="1" t="n">
        <v>45983</v>
      </c>
      <c r="D504" t="inlineStr">
        <is>
          <t>HALLANDS LÄN</t>
        </is>
      </c>
      <c r="E504" t="inlineStr">
        <is>
          <t>HYLTE</t>
        </is>
      </c>
      <c r="F504" t="inlineStr">
        <is>
          <t>Bergvik skog väst AB</t>
        </is>
      </c>
      <c r="G504" t="n">
        <v>1.5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57211-2022</t>
        </is>
      </c>
      <c r="B505" s="1" t="n">
        <v>44889</v>
      </c>
      <c r="C505" s="1" t="n">
        <v>45983</v>
      </c>
      <c r="D505" t="inlineStr">
        <is>
          <t>HALLANDS LÄN</t>
        </is>
      </c>
      <c r="E505" t="inlineStr">
        <is>
          <t>HYLTE</t>
        </is>
      </c>
      <c r="G505" t="n">
        <v>2.6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57588-2024</t>
        </is>
      </c>
      <c r="B506" s="1" t="n">
        <v>45630</v>
      </c>
      <c r="C506" s="1" t="n">
        <v>45983</v>
      </c>
      <c r="D506" t="inlineStr">
        <is>
          <t>HALLANDS LÄN</t>
        </is>
      </c>
      <c r="E506" t="inlineStr">
        <is>
          <t>HYLTE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55858-2024</t>
        </is>
      </c>
      <c r="B507" s="1" t="n">
        <v>45623</v>
      </c>
      <c r="C507" s="1" t="n">
        <v>45983</v>
      </c>
      <c r="D507" t="inlineStr">
        <is>
          <t>HALLANDS LÄN</t>
        </is>
      </c>
      <c r="E507" t="inlineStr">
        <is>
          <t>HYLTE</t>
        </is>
      </c>
      <c r="G507" t="n">
        <v>0.6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38854-2023</t>
        </is>
      </c>
      <c r="B508" s="1" t="n">
        <v>45163</v>
      </c>
      <c r="C508" s="1" t="n">
        <v>45983</v>
      </c>
      <c r="D508" t="inlineStr">
        <is>
          <t>HALLANDS LÄN</t>
        </is>
      </c>
      <c r="E508" t="inlineStr">
        <is>
          <t>HYLTE</t>
        </is>
      </c>
      <c r="G508" t="n">
        <v>1.3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 ht="15" customHeight="1">
      <c r="A509" t="inlineStr">
        <is>
          <t>A 47513-2025</t>
        </is>
      </c>
      <c r="B509" s="1" t="n">
        <v>45930.96792824074</v>
      </c>
      <c r="C509" s="1" t="n">
        <v>45983</v>
      </c>
      <c r="D509" t="inlineStr">
        <is>
          <t>HALLANDS LÄN</t>
        </is>
      </c>
      <c r="E509" t="inlineStr">
        <is>
          <t>HYLTE</t>
        </is>
      </c>
      <c r="G509" t="n">
        <v>0.7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  <row r="510" ht="15" customHeight="1">
      <c r="A510" t="inlineStr">
        <is>
          <t>A 47703-2025</t>
        </is>
      </c>
      <c r="B510" s="1" t="n">
        <v>45931.60741898148</v>
      </c>
      <c r="C510" s="1" t="n">
        <v>45983</v>
      </c>
      <c r="D510" t="inlineStr">
        <is>
          <t>HALLANDS LÄN</t>
        </is>
      </c>
      <c r="E510" t="inlineStr">
        <is>
          <t>HYLTE</t>
        </is>
      </c>
      <c r="G510" t="n">
        <v>3.1</v>
      </c>
      <c r="H510" t="n">
        <v>0</v>
      </c>
      <c r="I510" t="n">
        <v>0</v>
      </c>
      <c r="J510" t="n">
        <v>0</v>
      </c>
      <c r="K510" t="n">
        <v>0</v>
      </c>
      <c r="L510" t="n">
        <v>0</v>
      </c>
      <c r="M510" t="n">
        <v>0</v>
      </c>
      <c r="N510" t="n">
        <v>0</v>
      </c>
      <c r="O510" t="n">
        <v>0</v>
      </c>
      <c r="P510" t="n">
        <v>0</v>
      </c>
      <c r="Q510" t="n">
        <v>0</v>
      </c>
      <c r="R510" s="2" t="inlineStr"/>
    </row>
    <row r="511" ht="15" customHeight="1">
      <c r="A511" t="inlineStr">
        <is>
          <t>A 22309-2022</t>
        </is>
      </c>
      <c r="B511" s="1" t="n">
        <v>44712.81100694444</v>
      </c>
      <c r="C511" s="1" t="n">
        <v>45983</v>
      </c>
      <c r="D511" t="inlineStr">
        <is>
          <t>HALLANDS LÄN</t>
        </is>
      </c>
      <c r="E511" t="inlineStr">
        <is>
          <t>HYLTE</t>
        </is>
      </c>
      <c r="G511" t="n">
        <v>2.4</v>
      </c>
      <c r="H511" t="n">
        <v>0</v>
      </c>
      <c r="I511" t="n">
        <v>0</v>
      </c>
      <c r="J511" t="n">
        <v>0</v>
      </c>
      <c r="K511" t="n">
        <v>0</v>
      </c>
      <c r="L511" t="n">
        <v>0</v>
      </c>
      <c r="M511" t="n">
        <v>0</v>
      </c>
      <c r="N511" t="n">
        <v>0</v>
      </c>
      <c r="O511" t="n">
        <v>0</v>
      </c>
      <c r="P511" t="n">
        <v>0</v>
      </c>
      <c r="Q511" t="n">
        <v>0</v>
      </c>
      <c r="R511" s="2" t="inlineStr"/>
    </row>
    <row r="512" ht="15" customHeight="1">
      <c r="A512" t="inlineStr">
        <is>
          <t>A 37324-2025</t>
        </is>
      </c>
      <c r="B512" s="1" t="n">
        <v>45876.63390046296</v>
      </c>
      <c r="C512" s="1" t="n">
        <v>45983</v>
      </c>
      <c r="D512" t="inlineStr">
        <is>
          <t>HALLANDS LÄN</t>
        </is>
      </c>
      <c r="E512" t="inlineStr">
        <is>
          <t>HYLTE</t>
        </is>
      </c>
      <c r="G512" t="n">
        <v>1.2</v>
      </c>
      <c r="H512" t="n">
        <v>0</v>
      </c>
      <c r="I512" t="n">
        <v>0</v>
      </c>
      <c r="J512" t="n">
        <v>0</v>
      </c>
      <c r="K512" t="n">
        <v>0</v>
      </c>
      <c r="L512" t="n">
        <v>0</v>
      </c>
      <c r="M512" t="n">
        <v>0</v>
      </c>
      <c r="N512" t="n">
        <v>0</v>
      </c>
      <c r="O512" t="n">
        <v>0</v>
      </c>
      <c r="P512" t="n">
        <v>0</v>
      </c>
      <c r="Q512" t="n">
        <v>0</v>
      </c>
      <c r="R512" s="2" t="inlineStr"/>
    </row>
    <row r="513" ht="15" customHeight="1">
      <c r="A513" t="inlineStr">
        <is>
          <t>A 37678-2025</t>
        </is>
      </c>
      <c r="B513" s="1" t="n">
        <v>45880.53783564815</v>
      </c>
      <c r="C513" s="1" t="n">
        <v>45983</v>
      </c>
      <c r="D513" t="inlineStr">
        <is>
          <t>HALLANDS LÄN</t>
        </is>
      </c>
      <c r="E513" t="inlineStr">
        <is>
          <t>HYLTE</t>
        </is>
      </c>
      <c r="G513" t="n">
        <v>1.5</v>
      </c>
      <c r="H513" t="n">
        <v>0</v>
      </c>
      <c r="I513" t="n">
        <v>0</v>
      </c>
      <c r="J513" t="n">
        <v>0</v>
      </c>
      <c r="K513" t="n">
        <v>0</v>
      </c>
      <c r="L513" t="n">
        <v>0</v>
      </c>
      <c r="M513" t="n">
        <v>0</v>
      </c>
      <c r="N513" t="n">
        <v>0</v>
      </c>
      <c r="O513" t="n">
        <v>0</v>
      </c>
      <c r="P513" t="n">
        <v>0</v>
      </c>
      <c r="Q513" t="n">
        <v>0</v>
      </c>
      <c r="R513" s="2" t="inlineStr"/>
    </row>
    <row r="514" ht="15" customHeight="1">
      <c r="A514" t="inlineStr">
        <is>
          <t>A 37675-2025</t>
        </is>
      </c>
      <c r="B514" s="1" t="n">
        <v>45880.53542824074</v>
      </c>
      <c r="C514" s="1" t="n">
        <v>45983</v>
      </c>
      <c r="D514" t="inlineStr">
        <is>
          <t>HALLANDS LÄN</t>
        </is>
      </c>
      <c r="E514" t="inlineStr">
        <is>
          <t>HYLTE</t>
        </is>
      </c>
      <c r="G514" t="n">
        <v>0.7</v>
      </c>
      <c r="H514" t="n">
        <v>0</v>
      </c>
      <c r="I514" t="n">
        <v>0</v>
      </c>
      <c r="J514" t="n">
        <v>0</v>
      </c>
      <c r="K514" t="n">
        <v>0</v>
      </c>
      <c r="L514" t="n">
        <v>0</v>
      </c>
      <c r="M514" t="n">
        <v>0</v>
      </c>
      <c r="N514" t="n">
        <v>0</v>
      </c>
      <c r="O514" t="n">
        <v>0</v>
      </c>
      <c r="P514" t="n">
        <v>0</v>
      </c>
      <c r="Q514" t="n">
        <v>0</v>
      </c>
      <c r="R514" s="2" t="inlineStr"/>
    </row>
    <row r="515" ht="15" customHeight="1">
      <c r="A515" t="inlineStr">
        <is>
          <t>A 37586-2025</t>
        </is>
      </c>
      <c r="B515" s="1" t="n">
        <v>45880</v>
      </c>
      <c r="C515" s="1" t="n">
        <v>45983</v>
      </c>
      <c r="D515" t="inlineStr">
        <is>
          <t>HALLANDS LÄN</t>
        </is>
      </c>
      <c r="E515" t="inlineStr">
        <is>
          <t>HYLTE</t>
        </is>
      </c>
      <c r="G515" t="n">
        <v>2</v>
      </c>
      <c r="H515" t="n">
        <v>0</v>
      </c>
      <c r="I515" t="n">
        <v>0</v>
      </c>
      <c r="J515" t="n">
        <v>0</v>
      </c>
      <c r="K515" t="n">
        <v>0</v>
      </c>
      <c r="L515" t="n">
        <v>0</v>
      </c>
      <c r="M515" t="n">
        <v>0</v>
      </c>
      <c r="N515" t="n">
        <v>0</v>
      </c>
      <c r="O515" t="n">
        <v>0</v>
      </c>
      <c r="P515" t="n">
        <v>0</v>
      </c>
      <c r="Q515" t="n">
        <v>0</v>
      </c>
      <c r="R515" s="2" t="inlineStr"/>
    </row>
    <row r="516" ht="15" customHeight="1">
      <c r="A516" t="inlineStr">
        <is>
          <t>A 37596-2025</t>
        </is>
      </c>
      <c r="B516" s="1" t="n">
        <v>45880.41700231482</v>
      </c>
      <c r="C516" s="1" t="n">
        <v>45983</v>
      </c>
      <c r="D516" t="inlineStr">
        <is>
          <t>HALLANDS LÄN</t>
        </is>
      </c>
      <c r="E516" t="inlineStr">
        <is>
          <t>HYLTE</t>
        </is>
      </c>
      <c r="G516" t="n">
        <v>0.5</v>
      </c>
      <c r="H516" t="n">
        <v>0</v>
      </c>
      <c r="I516" t="n">
        <v>0</v>
      </c>
      <c r="J516" t="n">
        <v>0</v>
      </c>
      <c r="K516" t="n">
        <v>0</v>
      </c>
      <c r="L516" t="n">
        <v>0</v>
      </c>
      <c r="M516" t="n">
        <v>0</v>
      </c>
      <c r="N516" t="n">
        <v>0</v>
      </c>
      <c r="O516" t="n">
        <v>0</v>
      </c>
      <c r="P516" t="n">
        <v>0</v>
      </c>
      <c r="Q516" t="n">
        <v>0</v>
      </c>
      <c r="R516" s="2" t="inlineStr"/>
    </row>
    <row r="517" ht="15" customHeight="1">
      <c r="A517" t="inlineStr">
        <is>
          <t>A 37609-2025</t>
        </is>
      </c>
      <c r="B517" s="1" t="n">
        <v>45880</v>
      </c>
      <c r="C517" s="1" t="n">
        <v>45983</v>
      </c>
      <c r="D517" t="inlineStr">
        <is>
          <t>HALLANDS LÄN</t>
        </is>
      </c>
      <c r="E517" t="inlineStr">
        <is>
          <t>HYLTE</t>
        </is>
      </c>
      <c r="G517" t="n">
        <v>1.5</v>
      </c>
      <c r="H517" t="n">
        <v>0</v>
      </c>
      <c r="I517" t="n">
        <v>0</v>
      </c>
      <c r="J517" t="n">
        <v>0</v>
      </c>
      <c r="K517" t="n">
        <v>0</v>
      </c>
      <c r="L517" t="n">
        <v>0</v>
      </c>
      <c r="M517" t="n">
        <v>0</v>
      </c>
      <c r="N517" t="n">
        <v>0</v>
      </c>
      <c r="O517" t="n">
        <v>0</v>
      </c>
      <c r="P517" t="n">
        <v>0</v>
      </c>
      <c r="Q517" t="n">
        <v>0</v>
      </c>
      <c r="R517" s="2" t="inlineStr"/>
    </row>
    <row r="518" ht="15" customHeight="1">
      <c r="A518" t="inlineStr">
        <is>
          <t>A 60571-2024</t>
        </is>
      </c>
      <c r="B518" s="1" t="n">
        <v>45642</v>
      </c>
      <c r="C518" s="1" t="n">
        <v>45983</v>
      </c>
      <c r="D518" t="inlineStr">
        <is>
          <t>HALLANDS LÄN</t>
        </is>
      </c>
      <c r="E518" t="inlineStr">
        <is>
          <t>HYLTE</t>
        </is>
      </c>
      <c r="G518" t="n">
        <v>1.1</v>
      </c>
      <c r="H518" t="n">
        <v>0</v>
      </c>
      <c r="I518" t="n">
        <v>0</v>
      </c>
      <c r="J518" t="n">
        <v>0</v>
      </c>
      <c r="K518" t="n">
        <v>0</v>
      </c>
      <c r="L518" t="n">
        <v>0</v>
      </c>
      <c r="M518" t="n">
        <v>0</v>
      </c>
      <c r="N518" t="n">
        <v>0</v>
      </c>
      <c r="O518" t="n">
        <v>0</v>
      </c>
      <c r="P518" t="n">
        <v>0</v>
      </c>
      <c r="Q518" t="n">
        <v>0</v>
      </c>
      <c r="R518" s="2" t="inlineStr"/>
    </row>
    <row r="519" ht="15" customHeight="1">
      <c r="A519" t="inlineStr">
        <is>
          <t>A 60574-2024</t>
        </is>
      </c>
      <c r="B519" s="1" t="n">
        <v>45642</v>
      </c>
      <c r="C519" s="1" t="n">
        <v>45983</v>
      </c>
      <c r="D519" t="inlineStr">
        <is>
          <t>HALLANDS LÄN</t>
        </is>
      </c>
      <c r="E519" t="inlineStr">
        <is>
          <t>HYLTE</t>
        </is>
      </c>
      <c r="G519" t="n">
        <v>1.5</v>
      </c>
      <c r="H519" t="n">
        <v>0</v>
      </c>
      <c r="I519" t="n">
        <v>0</v>
      </c>
      <c r="J519" t="n">
        <v>0</v>
      </c>
      <c r="K519" t="n">
        <v>0</v>
      </c>
      <c r="L519" t="n">
        <v>0</v>
      </c>
      <c r="M519" t="n">
        <v>0</v>
      </c>
      <c r="N519" t="n">
        <v>0</v>
      </c>
      <c r="O519" t="n">
        <v>0</v>
      </c>
      <c r="P519" t="n">
        <v>0</v>
      </c>
      <c r="Q519" t="n">
        <v>0</v>
      </c>
      <c r="R519" s="2" t="inlineStr"/>
    </row>
    <row r="520" ht="15" customHeight="1">
      <c r="A520" t="inlineStr">
        <is>
          <t>A 37428-2025</t>
        </is>
      </c>
      <c r="B520" s="1" t="n">
        <v>45877</v>
      </c>
      <c r="C520" s="1" t="n">
        <v>45983</v>
      </c>
      <c r="D520" t="inlineStr">
        <is>
          <t>HALLANDS LÄN</t>
        </is>
      </c>
      <c r="E520" t="inlineStr">
        <is>
          <t>HYLTE</t>
        </is>
      </c>
      <c r="G520" t="n">
        <v>7.1</v>
      </c>
      <c r="H520" t="n">
        <v>0</v>
      </c>
      <c r="I520" t="n">
        <v>0</v>
      </c>
      <c r="J520" t="n">
        <v>0</v>
      </c>
      <c r="K520" t="n">
        <v>0</v>
      </c>
      <c r="L520" t="n">
        <v>0</v>
      </c>
      <c r="M520" t="n">
        <v>0</v>
      </c>
      <c r="N520" t="n">
        <v>0</v>
      </c>
      <c r="O520" t="n">
        <v>0</v>
      </c>
      <c r="P520" t="n">
        <v>0</v>
      </c>
      <c r="Q520" t="n">
        <v>0</v>
      </c>
      <c r="R520" s="2" t="inlineStr"/>
    </row>
    <row r="521" ht="15" customHeight="1">
      <c r="A521" t="inlineStr">
        <is>
          <t>A 37614-2025</t>
        </is>
      </c>
      <c r="B521" s="1" t="n">
        <v>45880</v>
      </c>
      <c r="C521" s="1" t="n">
        <v>45983</v>
      </c>
      <c r="D521" t="inlineStr">
        <is>
          <t>HALLANDS LÄN</t>
        </is>
      </c>
      <c r="E521" t="inlineStr">
        <is>
          <t>HYLTE</t>
        </is>
      </c>
      <c r="G521" t="n">
        <v>3.7</v>
      </c>
      <c r="H521" t="n">
        <v>0</v>
      </c>
      <c r="I521" t="n">
        <v>0</v>
      </c>
      <c r="J521" t="n">
        <v>0</v>
      </c>
      <c r="K521" t="n">
        <v>0</v>
      </c>
      <c r="L521" t="n">
        <v>0</v>
      </c>
      <c r="M521" t="n">
        <v>0</v>
      </c>
      <c r="N521" t="n">
        <v>0</v>
      </c>
      <c r="O521" t="n">
        <v>0</v>
      </c>
      <c r="P521" t="n">
        <v>0</v>
      </c>
      <c r="Q521" t="n">
        <v>0</v>
      </c>
      <c r="R521" s="2" t="inlineStr"/>
    </row>
    <row r="522" ht="15" customHeight="1">
      <c r="A522" t="inlineStr">
        <is>
          <t>A 37673-2025</t>
        </is>
      </c>
      <c r="B522" s="1" t="n">
        <v>45880.53377314815</v>
      </c>
      <c r="C522" s="1" t="n">
        <v>45983</v>
      </c>
      <c r="D522" t="inlineStr">
        <is>
          <t>HALLANDS LÄN</t>
        </is>
      </c>
      <c r="E522" t="inlineStr">
        <is>
          <t>HYLTE</t>
        </is>
      </c>
      <c r="G522" t="n">
        <v>1.3</v>
      </c>
      <c r="H522" t="n">
        <v>0</v>
      </c>
      <c r="I522" t="n">
        <v>0</v>
      </c>
      <c r="J522" t="n">
        <v>0</v>
      </c>
      <c r="K522" t="n">
        <v>0</v>
      </c>
      <c r="L522" t="n">
        <v>0</v>
      </c>
      <c r="M522" t="n">
        <v>0</v>
      </c>
      <c r="N522" t="n">
        <v>0</v>
      </c>
      <c r="O522" t="n">
        <v>0</v>
      </c>
      <c r="P522" t="n">
        <v>0</v>
      </c>
      <c r="Q522" t="n">
        <v>0</v>
      </c>
      <c r="R522" s="2" t="inlineStr"/>
    </row>
    <row r="523" ht="15" customHeight="1">
      <c r="A523" t="inlineStr">
        <is>
          <t>A 37674-2025</t>
        </is>
      </c>
      <c r="B523" s="1" t="n">
        <v>45880.53457175926</v>
      </c>
      <c r="C523" s="1" t="n">
        <v>45983</v>
      </c>
      <c r="D523" t="inlineStr">
        <is>
          <t>HALLANDS LÄN</t>
        </is>
      </c>
      <c r="E523" t="inlineStr">
        <is>
          <t>HYLTE</t>
        </is>
      </c>
      <c r="G523" t="n">
        <v>4.1</v>
      </c>
      <c r="H523" t="n">
        <v>0</v>
      </c>
      <c r="I523" t="n">
        <v>0</v>
      </c>
      <c r="J523" t="n">
        <v>0</v>
      </c>
      <c r="K523" t="n">
        <v>0</v>
      </c>
      <c r="L523" t="n">
        <v>0</v>
      </c>
      <c r="M523" t="n">
        <v>0</v>
      </c>
      <c r="N523" t="n">
        <v>0</v>
      </c>
      <c r="O523" t="n">
        <v>0</v>
      </c>
      <c r="P523" t="n">
        <v>0</v>
      </c>
      <c r="Q523" t="n">
        <v>0</v>
      </c>
      <c r="R523" s="2" t="inlineStr"/>
    </row>
    <row r="524" ht="15" customHeight="1">
      <c r="A524" t="inlineStr">
        <is>
          <t>A 37599-2025</t>
        </is>
      </c>
      <c r="B524" s="1" t="n">
        <v>45880.42084490741</v>
      </c>
      <c r="C524" s="1" t="n">
        <v>45983</v>
      </c>
      <c r="D524" t="inlineStr">
        <is>
          <t>HALLANDS LÄN</t>
        </is>
      </c>
      <c r="E524" t="inlineStr">
        <is>
          <t>HYLTE</t>
        </is>
      </c>
      <c r="G524" t="n">
        <v>0.7</v>
      </c>
      <c r="H524" t="n">
        <v>0</v>
      </c>
      <c r="I524" t="n">
        <v>0</v>
      </c>
      <c r="J524" t="n">
        <v>0</v>
      </c>
      <c r="K524" t="n">
        <v>0</v>
      </c>
      <c r="L524" t="n">
        <v>0</v>
      </c>
      <c r="M524" t="n">
        <v>0</v>
      </c>
      <c r="N524" t="n">
        <v>0</v>
      </c>
      <c r="O524" t="n">
        <v>0</v>
      </c>
      <c r="P524" t="n">
        <v>0</v>
      </c>
      <c r="Q524" t="n">
        <v>0</v>
      </c>
      <c r="R524" s="2" t="inlineStr"/>
    </row>
    <row r="525" ht="15" customHeight="1">
      <c r="A525" t="inlineStr">
        <is>
          <t>A 37613-2025</t>
        </is>
      </c>
      <c r="B525" s="1" t="n">
        <v>45880</v>
      </c>
      <c r="C525" s="1" t="n">
        <v>45983</v>
      </c>
      <c r="D525" t="inlineStr">
        <is>
          <t>HALLANDS LÄN</t>
        </is>
      </c>
      <c r="E525" t="inlineStr">
        <is>
          <t>HYLTE</t>
        </is>
      </c>
      <c r="G525" t="n">
        <v>1.2</v>
      </c>
      <c r="H525" t="n">
        <v>0</v>
      </c>
      <c r="I525" t="n">
        <v>0</v>
      </c>
      <c r="J525" t="n">
        <v>0</v>
      </c>
      <c r="K525" t="n">
        <v>0</v>
      </c>
      <c r="L525" t="n">
        <v>0</v>
      </c>
      <c r="M525" t="n">
        <v>0</v>
      </c>
      <c r="N525" t="n">
        <v>0</v>
      </c>
      <c r="O525" t="n">
        <v>0</v>
      </c>
      <c r="P525" t="n">
        <v>0</v>
      </c>
      <c r="Q525" t="n">
        <v>0</v>
      </c>
      <c r="R525" s="2" t="inlineStr"/>
    </row>
    <row r="526" ht="15" customHeight="1">
      <c r="A526" t="inlineStr">
        <is>
          <t>A 37677-2025</t>
        </is>
      </c>
      <c r="B526" s="1" t="n">
        <v>45880.5372337963</v>
      </c>
      <c r="C526" s="1" t="n">
        <v>45983</v>
      </c>
      <c r="D526" t="inlineStr">
        <is>
          <t>HALLANDS LÄN</t>
        </is>
      </c>
      <c r="E526" t="inlineStr">
        <is>
          <t>HYLTE</t>
        </is>
      </c>
      <c r="G526" t="n">
        <v>0.8</v>
      </c>
      <c r="H526" t="n">
        <v>0</v>
      </c>
      <c r="I526" t="n">
        <v>0</v>
      </c>
      <c r="J526" t="n">
        <v>0</v>
      </c>
      <c r="K526" t="n">
        <v>0</v>
      </c>
      <c r="L526" t="n">
        <v>0</v>
      </c>
      <c r="M526" t="n">
        <v>0</v>
      </c>
      <c r="N526" t="n">
        <v>0</v>
      </c>
      <c r="O526" t="n">
        <v>0</v>
      </c>
      <c r="P526" t="n">
        <v>0</v>
      </c>
      <c r="Q526" t="n">
        <v>0</v>
      </c>
      <c r="R526" s="2" t="inlineStr"/>
    </row>
    <row r="527" ht="15" customHeight="1">
      <c r="A527" t="inlineStr">
        <is>
          <t>A 60606-2024</t>
        </is>
      </c>
      <c r="B527" s="1" t="n">
        <v>45642</v>
      </c>
      <c r="C527" s="1" t="n">
        <v>45983</v>
      </c>
      <c r="D527" t="inlineStr">
        <is>
          <t>HALLANDS LÄN</t>
        </is>
      </c>
      <c r="E527" t="inlineStr">
        <is>
          <t>HYLTE</t>
        </is>
      </c>
      <c r="G527" t="n">
        <v>0.6</v>
      </c>
      <c r="H527" t="n">
        <v>0</v>
      </c>
      <c r="I527" t="n">
        <v>0</v>
      </c>
      <c r="J527" t="n">
        <v>0</v>
      </c>
      <c r="K527" t="n">
        <v>0</v>
      </c>
      <c r="L527" t="n">
        <v>0</v>
      </c>
      <c r="M527" t="n">
        <v>0</v>
      </c>
      <c r="N527" t="n">
        <v>0</v>
      </c>
      <c r="O527" t="n">
        <v>0</v>
      </c>
      <c r="P527" t="n">
        <v>0</v>
      </c>
      <c r="Q527" t="n">
        <v>0</v>
      </c>
      <c r="R527" s="2" t="inlineStr"/>
    </row>
    <row r="528" ht="15" customHeight="1">
      <c r="A528" t="inlineStr">
        <is>
          <t>A 37595-2025</t>
        </is>
      </c>
      <c r="B528" s="1" t="n">
        <v>45880.41631944444</v>
      </c>
      <c r="C528" s="1" t="n">
        <v>45983</v>
      </c>
      <c r="D528" t="inlineStr">
        <is>
          <t>HALLANDS LÄN</t>
        </is>
      </c>
      <c r="E528" t="inlineStr">
        <is>
          <t>HYLTE</t>
        </is>
      </c>
      <c r="G528" t="n">
        <v>0.5</v>
      </c>
      <c r="H528" t="n">
        <v>0</v>
      </c>
      <c r="I528" t="n">
        <v>0</v>
      </c>
      <c r="J528" t="n">
        <v>0</v>
      </c>
      <c r="K528" t="n">
        <v>0</v>
      </c>
      <c r="L528" t="n">
        <v>0</v>
      </c>
      <c r="M528" t="n">
        <v>0</v>
      </c>
      <c r="N528" t="n">
        <v>0</v>
      </c>
      <c r="O528" t="n">
        <v>0</v>
      </c>
      <c r="P528" t="n">
        <v>0</v>
      </c>
      <c r="Q528" t="n">
        <v>0</v>
      </c>
      <c r="R528" s="2" t="inlineStr"/>
    </row>
    <row r="529" ht="15" customHeight="1">
      <c r="A529" t="inlineStr">
        <is>
          <t>A 37672-2025</t>
        </is>
      </c>
      <c r="B529" s="1" t="n">
        <v>45880.53280092592</v>
      </c>
      <c r="C529" s="1" t="n">
        <v>45983</v>
      </c>
      <c r="D529" t="inlineStr">
        <is>
          <t>HALLANDS LÄN</t>
        </is>
      </c>
      <c r="E529" t="inlineStr">
        <is>
          <t>HYLTE</t>
        </is>
      </c>
      <c r="G529" t="n">
        <v>1.7</v>
      </c>
      <c r="H529" t="n">
        <v>0</v>
      </c>
      <c r="I529" t="n">
        <v>0</v>
      </c>
      <c r="J529" t="n">
        <v>0</v>
      </c>
      <c r="K529" t="n">
        <v>0</v>
      </c>
      <c r="L529" t="n">
        <v>0</v>
      </c>
      <c r="M529" t="n">
        <v>0</v>
      </c>
      <c r="N529" t="n">
        <v>0</v>
      </c>
      <c r="O529" t="n">
        <v>0</v>
      </c>
      <c r="P529" t="n">
        <v>0</v>
      </c>
      <c r="Q529" t="n">
        <v>0</v>
      </c>
      <c r="R529" s="2" t="inlineStr"/>
    </row>
    <row r="530" ht="15" customHeight="1">
      <c r="A530" t="inlineStr">
        <is>
          <t>A 37676-2025</t>
        </is>
      </c>
      <c r="B530" s="1" t="n">
        <v>45880.53618055556</v>
      </c>
      <c r="C530" s="1" t="n">
        <v>45983</v>
      </c>
      <c r="D530" t="inlineStr">
        <is>
          <t>HALLANDS LÄN</t>
        </is>
      </c>
      <c r="E530" t="inlineStr">
        <is>
          <t>HYLTE</t>
        </is>
      </c>
      <c r="G530" t="n">
        <v>0.9</v>
      </c>
      <c r="H530" t="n">
        <v>0</v>
      </c>
      <c r="I530" t="n">
        <v>0</v>
      </c>
      <c r="J530" t="n">
        <v>0</v>
      </c>
      <c r="K530" t="n">
        <v>0</v>
      </c>
      <c r="L530" t="n">
        <v>0</v>
      </c>
      <c r="M530" t="n">
        <v>0</v>
      </c>
      <c r="N530" t="n">
        <v>0</v>
      </c>
      <c r="O530" t="n">
        <v>0</v>
      </c>
      <c r="P530" t="n">
        <v>0</v>
      </c>
      <c r="Q530" t="n">
        <v>0</v>
      </c>
      <c r="R530" s="2" t="inlineStr"/>
    </row>
    <row r="531" ht="15" customHeight="1">
      <c r="A531" t="inlineStr">
        <is>
          <t>A 30013-2021</t>
        </is>
      </c>
      <c r="B531" s="1" t="n">
        <v>44363</v>
      </c>
      <c r="C531" s="1" t="n">
        <v>45983</v>
      </c>
      <c r="D531" t="inlineStr">
        <is>
          <t>HALLANDS LÄN</t>
        </is>
      </c>
      <c r="E531" t="inlineStr">
        <is>
          <t>HYLTE</t>
        </is>
      </c>
      <c r="G531" t="n">
        <v>4.7</v>
      </c>
      <c r="H531" t="n">
        <v>0</v>
      </c>
      <c r="I531" t="n">
        <v>0</v>
      </c>
      <c r="J531" t="n">
        <v>0</v>
      </c>
      <c r="K531" t="n">
        <v>0</v>
      </c>
      <c r="L531" t="n">
        <v>0</v>
      </c>
      <c r="M531" t="n">
        <v>0</v>
      </c>
      <c r="N531" t="n">
        <v>0</v>
      </c>
      <c r="O531" t="n">
        <v>0</v>
      </c>
      <c r="P531" t="n">
        <v>0</v>
      </c>
      <c r="Q531" t="n">
        <v>0</v>
      </c>
      <c r="R531" s="2" t="inlineStr"/>
    </row>
    <row r="532" ht="15" customHeight="1">
      <c r="A532" t="inlineStr">
        <is>
          <t>A 56763-2025</t>
        </is>
      </c>
      <c r="B532" s="1" t="n">
        <v>45978.37863425926</v>
      </c>
      <c r="C532" s="1" t="n">
        <v>45983</v>
      </c>
      <c r="D532" t="inlineStr">
        <is>
          <t>HALLANDS LÄN</t>
        </is>
      </c>
      <c r="E532" t="inlineStr">
        <is>
          <t>HYLTE</t>
        </is>
      </c>
      <c r="G532" t="n">
        <v>3.2</v>
      </c>
      <c r="H532" t="n">
        <v>0</v>
      </c>
      <c r="I532" t="n">
        <v>0</v>
      </c>
      <c r="J532" t="n">
        <v>0</v>
      </c>
      <c r="K532" t="n">
        <v>0</v>
      </c>
      <c r="L532" t="n">
        <v>0</v>
      </c>
      <c r="M532" t="n">
        <v>0</v>
      </c>
      <c r="N532" t="n">
        <v>0</v>
      </c>
      <c r="O532" t="n">
        <v>0</v>
      </c>
      <c r="P532" t="n">
        <v>0</v>
      </c>
      <c r="Q532" t="n">
        <v>0</v>
      </c>
      <c r="R532" s="2" t="inlineStr"/>
    </row>
    <row r="533" ht="15" customHeight="1">
      <c r="A533" t="inlineStr">
        <is>
          <t>A 48118-2025</t>
        </is>
      </c>
      <c r="B533" s="1" t="n">
        <v>45933.35831018518</v>
      </c>
      <c r="C533" s="1" t="n">
        <v>45983</v>
      </c>
      <c r="D533" t="inlineStr">
        <is>
          <t>HALLANDS LÄN</t>
        </is>
      </c>
      <c r="E533" t="inlineStr">
        <is>
          <t>HYLTE</t>
        </is>
      </c>
      <c r="G533" t="n">
        <v>0.8</v>
      </c>
      <c r="H533" t="n">
        <v>0</v>
      </c>
      <c r="I533" t="n">
        <v>0</v>
      </c>
      <c r="J533" t="n">
        <v>0</v>
      </c>
      <c r="K533" t="n">
        <v>0</v>
      </c>
      <c r="L533" t="n">
        <v>0</v>
      </c>
      <c r="M533" t="n">
        <v>0</v>
      </c>
      <c r="N533" t="n">
        <v>0</v>
      </c>
      <c r="O533" t="n">
        <v>0</v>
      </c>
      <c r="P533" t="n">
        <v>0</v>
      </c>
      <c r="Q533" t="n">
        <v>0</v>
      </c>
      <c r="R533" s="2" t="inlineStr"/>
    </row>
    <row r="534" ht="15" customHeight="1">
      <c r="A534" t="inlineStr">
        <is>
          <t>A 48463-2025</t>
        </is>
      </c>
      <c r="B534" s="1" t="n">
        <v>45936.33104166666</v>
      </c>
      <c r="C534" s="1" t="n">
        <v>45983</v>
      </c>
      <c r="D534" t="inlineStr">
        <is>
          <t>HALLANDS LÄN</t>
        </is>
      </c>
      <c r="E534" t="inlineStr">
        <is>
          <t>HYLTE</t>
        </is>
      </c>
      <c r="G534" t="n">
        <v>1.4</v>
      </c>
      <c r="H534" t="n">
        <v>0</v>
      </c>
      <c r="I534" t="n">
        <v>0</v>
      </c>
      <c r="J534" t="n">
        <v>0</v>
      </c>
      <c r="K534" t="n">
        <v>0</v>
      </c>
      <c r="L534" t="n">
        <v>0</v>
      </c>
      <c r="M534" t="n">
        <v>0</v>
      </c>
      <c r="N534" t="n">
        <v>0</v>
      </c>
      <c r="O534" t="n">
        <v>0</v>
      </c>
      <c r="P534" t="n">
        <v>0</v>
      </c>
      <c r="Q534" t="n">
        <v>0</v>
      </c>
      <c r="R534" s="2" t="inlineStr"/>
    </row>
    <row r="535" ht="15" customHeight="1">
      <c r="A535" t="inlineStr">
        <is>
          <t>A 48464-2025</t>
        </is>
      </c>
      <c r="B535" s="1" t="n">
        <v>45936.33180555556</v>
      </c>
      <c r="C535" s="1" t="n">
        <v>45983</v>
      </c>
      <c r="D535" t="inlineStr">
        <is>
          <t>HALLANDS LÄN</t>
        </is>
      </c>
      <c r="E535" t="inlineStr">
        <is>
          <t>HYLTE</t>
        </is>
      </c>
      <c r="G535" t="n">
        <v>0.9</v>
      </c>
      <c r="H535" t="n">
        <v>0</v>
      </c>
      <c r="I535" t="n">
        <v>0</v>
      </c>
      <c r="J535" t="n">
        <v>0</v>
      </c>
      <c r="K535" t="n">
        <v>0</v>
      </c>
      <c r="L535" t="n">
        <v>0</v>
      </c>
      <c r="M535" t="n">
        <v>0</v>
      </c>
      <c r="N535" t="n">
        <v>0</v>
      </c>
      <c r="O535" t="n">
        <v>0</v>
      </c>
      <c r="P535" t="n">
        <v>0</v>
      </c>
      <c r="Q535" t="n">
        <v>0</v>
      </c>
      <c r="R535" s="2" t="inlineStr"/>
    </row>
    <row r="536" ht="15" customHeight="1">
      <c r="A536" t="inlineStr">
        <is>
          <t>A 25217-2022</t>
        </is>
      </c>
      <c r="B536" s="1" t="n">
        <v>44729</v>
      </c>
      <c r="C536" s="1" t="n">
        <v>45983</v>
      </c>
      <c r="D536" t="inlineStr">
        <is>
          <t>HALLANDS LÄN</t>
        </is>
      </c>
      <c r="E536" t="inlineStr">
        <is>
          <t>HYLTE</t>
        </is>
      </c>
      <c r="G536" t="n">
        <v>1.1</v>
      </c>
      <c r="H536" t="n">
        <v>0</v>
      </c>
      <c r="I536" t="n">
        <v>0</v>
      </c>
      <c r="J536" t="n">
        <v>0</v>
      </c>
      <c r="K536" t="n">
        <v>0</v>
      </c>
      <c r="L536" t="n">
        <v>0</v>
      </c>
      <c r="M536" t="n">
        <v>0</v>
      </c>
      <c r="N536" t="n">
        <v>0</v>
      </c>
      <c r="O536" t="n">
        <v>0</v>
      </c>
      <c r="P536" t="n">
        <v>0</v>
      </c>
      <c r="Q536" t="n">
        <v>0</v>
      </c>
      <c r="R536" s="2" t="inlineStr"/>
    </row>
    <row r="537" ht="15" customHeight="1">
      <c r="A537" t="inlineStr">
        <is>
          <t>A 48123-2025</t>
        </is>
      </c>
      <c r="B537" s="1" t="n">
        <v>45933.36384259259</v>
      </c>
      <c r="C537" s="1" t="n">
        <v>45983</v>
      </c>
      <c r="D537" t="inlineStr">
        <is>
          <t>HALLANDS LÄN</t>
        </is>
      </c>
      <c r="E537" t="inlineStr">
        <is>
          <t>HYLTE</t>
        </is>
      </c>
      <c r="G537" t="n">
        <v>1.9</v>
      </c>
      <c r="H537" t="n">
        <v>0</v>
      </c>
      <c r="I537" t="n">
        <v>0</v>
      </c>
      <c r="J537" t="n">
        <v>0</v>
      </c>
      <c r="K537" t="n">
        <v>0</v>
      </c>
      <c r="L537" t="n">
        <v>0</v>
      </c>
      <c r="M537" t="n">
        <v>0</v>
      </c>
      <c r="N537" t="n">
        <v>0</v>
      </c>
      <c r="O537" t="n">
        <v>0</v>
      </c>
      <c r="P537" t="n">
        <v>0</v>
      </c>
      <c r="Q537" t="n">
        <v>0</v>
      </c>
      <c r="R537" s="2" t="inlineStr"/>
    </row>
    <row r="538" ht="15" customHeight="1">
      <c r="A538" t="inlineStr">
        <is>
          <t>A 48152-2025</t>
        </is>
      </c>
      <c r="B538" s="1" t="n">
        <v>45933</v>
      </c>
      <c r="C538" s="1" t="n">
        <v>45983</v>
      </c>
      <c r="D538" t="inlineStr">
        <is>
          <t>HALLANDS LÄN</t>
        </is>
      </c>
      <c r="E538" t="inlineStr">
        <is>
          <t>HYLTE</t>
        </is>
      </c>
      <c r="G538" t="n">
        <v>2.6</v>
      </c>
      <c r="H538" t="n">
        <v>0</v>
      </c>
      <c r="I538" t="n">
        <v>0</v>
      </c>
      <c r="J538" t="n">
        <v>0</v>
      </c>
      <c r="K538" t="n">
        <v>0</v>
      </c>
      <c r="L538" t="n">
        <v>0</v>
      </c>
      <c r="M538" t="n">
        <v>0</v>
      </c>
      <c r="N538" t="n">
        <v>0</v>
      </c>
      <c r="O538" t="n">
        <v>0</v>
      </c>
      <c r="P538" t="n">
        <v>0</v>
      </c>
      <c r="Q538" t="n">
        <v>0</v>
      </c>
      <c r="R538" s="2" t="inlineStr"/>
    </row>
    <row r="539" ht="15" customHeight="1">
      <c r="A539" t="inlineStr">
        <is>
          <t>A 29479-2024</t>
        </is>
      </c>
      <c r="B539" s="1" t="n">
        <v>45483</v>
      </c>
      <c r="C539" s="1" t="n">
        <v>45983</v>
      </c>
      <c r="D539" t="inlineStr">
        <is>
          <t>HALLANDS LÄN</t>
        </is>
      </c>
      <c r="E539" t="inlineStr">
        <is>
          <t>HYLTE</t>
        </is>
      </c>
      <c r="G539" t="n">
        <v>0.7</v>
      </c>
      <c r="H539" t="n">
        <v>0</v>
      </c>
      <c r="I539" t="n">
        <v>0</v>
      </c>
      <c r="J539" t="n">
        <v>0</v>
      </c>
      <c r="K539" t="n">
        <v>0</v>
      </c>
      <c r="L539" t="n">
        <v>0</v>
      </c>
      <c r="M539" t="n">
        <v>0</v>
      </c>
      <c r="N539" t="n">
        <v>0</v>
      </c>
      <c r="O539" t="n">
        <v>0</v>
      </c>
      <c r="P539" t="n">
        <v>0</v>
      </c>
      <c r="Q539" t="n">
        <v>0</v>
      </c>
      <c r="R539" s="2" t="inlineStr"/>
    </row>
    <row r="540" ht="15" customHeight="1">
      <c r="A540" t="inlineStr">
        <is>
          <t>A 48465-2025</t>
        </is>
      </c>
      <c r="B540" s="1" t="n">
        <v>45936.3324074074</v>
      </c>
      <c r="C540" s="1" t="n">
        <v>45983</v>
      </c>
      <c r="D540" t="inlineStr">
        <is>
          <t>HALLANDS LÄN</t>
        </is>
      </c>
      <c r="E540" t="inlineStr">
        <is>
          <t>HYLTE</t>
        </is>
      </c>
      <c r="G540" t="n">
        <v>0.6</v>
      </c>
      <c r="H540" t="n">
        <v>0</v>
      </c>
      <c r="I540" t="n">
        <v>0</v>
      </c>
      <c r="J540" t="n">
        <v>0</v>
      </c>
      <c r="K540" t="n">
        <v>0</v>
      </c>
      <c r="L540" t="n">
        <v>0</v>
      </c>
      <c r="M540" t="n">
        <v>0</v>
      </c>
      <c r="N540" t="n">
        <v>0</v>
      </c>
      <c r="O540" t="n">
        <v>0</v>
      </c>
      <c r="P540" t="n">
        <v>0</v>
      </c>
      <c r="Q540" t="n">
        <v>0</v>
      </c>
      <c r="R540" s="2" t="inlineStr"/>
    </row>
    <row r="541" ht="15" customHeight="1">
      <c r="A541" t="inlineStr">
        <is>
          <t>A 10364-2023</t>
        </is>
      </c>
      <c r="B541" s="1" t="n">
        <v>44980</v>
      </c>
      <c r="C541" s="1" t="n">
        <v>45983</v>
      </c>
      <c r="D541" t="inlineStr">
        <is>
          <t>HALLANDS LÄN</t>
        </is>
      </c>
      <c r="E541" t="inlineStr">
        <is>
          <t>HYLTE</t>
        </is>
      </c>
      <c r="G541" t="n">
        <v>0.5</v>
      </c>
      <c r="H541" t="n">
        <v>0</v>
      </c>
      <c r="I541" t="n">
        <v>0</v>
      </c>
      <c r="J541" t="n">
        <v>0</v>
      </c>
      <c r="K541" t="n">
        <v>0</v>
      </c>
      <c r="L541" t="n">
        <v>0</v>
      </c>
      <c r="M541" t="n">
        <v>0</v>
      </c>
      <c r="N541" t="n">
        <v>0</v>
      </c>
      <c r="O541" t="n">
        <v>0</v>
      </c>
      <c r="P541" t="n">
        <v>0</v>
      </c>
      <c r="Q541" t="n">
        <v>0</v>
      </c>
      <c r="R541" s="2" t="inlineStr"/>
    </row>
    <row r="542" ht="15" customHeight="1">
      <c r="A542" t="inlineStr">
        <is>
          <t>A 54809-2025</t>
        </is>
      </c>
      <c r="B542" s="1" t="n">
        <v>45966.64534722222</v>
      </c>
      <c r="C542" s="1" t="n">
        <v>45983</v>
      </c>
      <c r="D542" t="inlineStr">
        <is>
          <t>HALLANDS LÄN</t>
        </is>
      </c>
      <c r="E542" t="inlineStr">
        <is>
          <t>HYLTE</t>
        </is>
      </c>
      <c r="G542" t="n">
        <v>4.6</v>
      </c>
      <c r="H542" t="n">
        <v>0</v>
      </c>
      <c r="I542" t="n">
        <v>0</v>
      </c>
      <c r="J542" t="n">
        <v>0</v>
      </c>
      <c r="K542" t="n">
        <v>0</v>
      </c>
      <c r="L542" t="n">
        <v>0</v>
      </c>
      <c r="M542" t="n">
        <v>0</v>
      </c>
      <c r="N542" t="n">
        <v>0</v>
      </c>
      <c r="O542" t="n">
        <v>0</v>
      </c>
      <c r="P542" t="n">
        <v>0</v>
      </c>
      <c r="Q542" t="n">
        <v>0</v>
      </c>
      <c r="R542" s="2" t="inlineStr"/>
    </row>
    <row r="543" ht="15" customHeight="1">
      <c r="A543" t="inlineStr">
        <is>
          <t>A 57461-2023</t>
        </is>
      </c>
      <c r="B543" s="1" t="n">
        <v>45246.36248842593</v>
      </c>
      <c r="C543" s="1" t="n">
        <v>45983</v>
      </c>
      <c r="D543" t="inlineStr">
        <is>
          <t>HALLANDS LÄN</t>
        </is>
      </c>
      <c r="E543" t="inlineStr">
        <is>
          <t>HYLTE</t>
        </is>
      </c>
      <c r="G543" t="n">
        <v>3.3</v>
      </c>
      <c r="H543" t="n">
        <v>0</v>
      </c>
      <c r="I543" t="n">
        <v>0</v>
      </c>
      <c r="J543" t="n">
        <v>0</v>
      </c>
      <c r="K543" t="n">
        <v>0</v>
      </c>
      <c r="L543" t="n">
        <v>0</v>
      </c>
      <c r="M543" t="n">
        <v>0</v>
      </c>
      <c r="N543" t="n">
        <v>0</v>
      </c>
      <c r="O543" t="n">
        <v>0</v>
      </c>
      <c r="P543" t="n">
        <v>0</v>
      </c>
      <c r="Q543" t="n">
        <v>0</v>
      </c>
      <c r="R543" s="2" t="inlineStr"/>
    </row>
    <row r="544" ht="15" customHeight="1">
      <c r="A544" t="inlineStr">
        <is>
          <t>A 9603-2025</t>
        </is>
      </c>
      <c r="B544" s="1" t="n">
        <v>45715.65526620371</v>
      </c>
      <c r="C544" s="1" t="n">
        <v>45983</v>
      </c>
      <c r="D544" t="inlineStr">
        <is>
          <t>HALLANDS LÄN</t>
        </is>
      </c>
      <c r="E544" t="inlineStr">
        <is>
          <t>HYLTE</t>
        </is>
      </c>
      <c r="G544" t="n">
        <v>0.8</v>
      </c>
      <c r="H544" t="n">
        <v>0</v>
      </c>
      <c r="I544" t="n">
        <v>0</v>
      </c>
      <c r="J544" t="n">
        <v>0</v>
      </c>
      <c r="K544" t="n">
        <v>0</v>
      </c>
      <c r="L544" t="n">
        <v>0</v>
      </c>
      <c r="M544" t="n">
        <v>0</v>
      </c>
      <c r="N544" t="n">
        <v>0</v>
      </c>
      <c r="O544" t="n">
        <v>0</v>
      </c>
      <c r="P544" t="n">
        <v>0</v>
      </c>
      <c r="Q544" t="n">
        <v>0</v>
      </c>
      <c r="R544" s="2" t="inlineStr"/>
    </row>
    <row r="545" ht="15" customHeight="1">
      <c r="A545" t="inlineStr">
        <is>
          <t>A 56762-2025</t>
        </is>
      </c>
      <c r="B545" s="1" t="n">
        <v>45978.37584490741</v>
      </c>
      <c r="C545" s="1" t="n">
        <v>45983</v>
      </c>
      <c r="D545" t="inlineStr">
        <is>
          <t>HALLANDS LÄN</t>
        </is>
      </c>
      <c r="E545" t="inlineStr">
        <is>
          <t>HYLTE</t>
        </is>
      </c>
      <c r="G545" t="n">
        <v>1</v>
      </c>
      <c r="H545" t="n">
        <v>0</v>
      </c>
      <c r="I545" t="n">
        <v>0</v>
      </c>
      <c r="J545" t="n">
        <v>0</v>
      </c>
      <c r="K545" t="n">
        <v>0</v>
      </c>
      <c r="L545" t="n">
        <v>0</v>
      </c>
      <c r="M545" t="n">
        <v>0</v>
      </c>
      <c r="N545" t="n">
        <v>0</v>
      </c>
      <c r="O545" t="n">
        <v>0</v>
      </c>
      <c r="P545" t="n">
        <v>0</v>
      </c>
      <c r="Q545" t="n">
        <v>0</v>
      </c>
      <c r="R545" s="2" t="inlineStr"/>
    </row>
    <row r="546" ht="15" customHeight="1">
      <c r="A546" t="inlineStr">
        <is>
          <t>A 56664-2025</t>
        </is>
      </c>
      <c r="B546" s="1" t="n">
        <v>45975.675625</v>
      </c>
      <c r="C546" s="1" t="n">
        <v>45983</v>
      </c>
      <c r="D546" t="inlineStr">
        <is>
          <t>HALLANDS LÄN</t>
        </is>
      </c>
      <c r="E546" t="inlineStr">
        <is>
          <t>HYLTE</t>
        </is>
      </c>
      <c r="G546" t="n">
        <v>1.3</v>
      </c>
      <c r="H546" t="n">
        <v>0</v>
      </c>
      <c r="I546" t="n">
        <v>0</v>
      </c>
      <c r="J546" t="n">
        <v>0</v>
      </c>
      <c r="K546" t="n">
        <v>0</v>
      </c>
      <c r="L546" t="n">
        <v>0</v>
      </c>
      <c r="M546" t="n">
        <v>0</v>
      </c>
      <c r="N546" t="n">
        <v>0</v>
      </c>
      <c r="O546" t="n">
        <v>0</v>
      </c>
      <c r="P546" t="n">
        <v>0</v>
      </c>
      <c r="Q546" t="n">
        <v>0</v>
      </c>
      <c r="R546" s="2" t="inlineStr"/>
    </row>
    <row r="547" ht="15" customHeight="1">
      <c r="A547" t="inlineStr">
        <is>
          <t>A 16428-2025</t>
        </is>
      </c>
      <c r="B547" s="1" t="n">
        <v>45751</v>
      </c>
      <c r="C547" s="1" t="n">
        <v>45983</v>
      </c>
      <c r="D547" t="inlineStr">
        <is>
          <t>HALLANDS LÄN</t>
        </is>
      </c>
      <c r="E547" t="inlineStr">
        <is>
          <t>HYLTE</t>
        </is>
      </c>
      <c r="F547" t="inlineStr">
        <is>
          <t>Kyrkan</t>
        </is>
      </c>
      <c r="G547" t="n">
        <v>3.4</v>
      </c>
      <c r="H547" t="n">
        <v>0</v>
      </c>
      <c r="I547" t="n">
        <v>0</v>
      </c>
      <c r="J547" t="n">
        <v>0</v>
      </c>
      <c r="K547" t="n">
        <v>0</v>
      </c>
      <c r="L547" t="n">
        <v>0</v>
      </c>
      <c r="M547" t="n">
        <v>0</v>
      </c>
      <c r="N547" t="n">
        <v>0</v>
      </c>
      <c r="O547" t="n">
        <v>0</v>
      </c>
      <c r="P547" t="n">
        <v>0</v>
      </c>
      <c r="Q547" t="n">
        <v>0</v>
      </c>
      <c r="R547" s="2" t="inlineStr"/>
    </row>
    <row r="548" ht="15" customHeight="1">
      <c r="A548" t="inlineStr">
        <is>
          <t>A 33011-2021</t>
        </is>
      </c>
      <c r="B548" s="1" t="n">
        <v>44376.4734375</v>
      </c>
      <c r="C548" s="1" t="n">
        <v>45983</v>
      </c>
      <c r="D548" t="inlineStr">
        <is>
          <t>HALLANDS LÄN</t>
        </is>
      </c>
      <c r="E548" t="inlineStr">
        <is>
          <t>HYLTE</t>
        </is>
      </c>
      <c r="G548" t="n">
        <v>10.4</v>
      </c>
      <c r="H548" t="n">
        <v>0</v>
      </c>
      <c r="I548" t="n">
        <v>0</v>
      </c>
      <c r="J548" t="n">
        <v>0</v>
      </c>
      <c r="K548" t="n">
        <v>0</v>
      </c>
      <c r="L548" t="n">
        <v>0</v>
      </c>
      <c r="M548" t="n">
        <v>0</v>
      </c>
      <c r="N548" t="n">
        <v>0</v>
      </c>
      <c r="O548" t="n">
        <v>0</v>
      </c>
      <c r="P548" t="n">
        <v>0</v>
      </c>
      <c r="Q548" t="n">
        <v>0</v>
      </c>
      <c r="R548" s="2" t="inlineStr"/>
    </row>
    <row r="549" ht="15" customHeight="1">
      <c r="A549" t="inlineStr">
        <is>
          <t>A 37932-2024</t>
        </is>
      </c>
      <c r="B549" s="1" t="n">
        <v>45544.48355324074</v>
      </c>
      <c r="C549" s="1" t="n">
        <v>45983</v>
      </c>
      <c r="D549" t="inlineStr">
        <is>
          <t>HALLANDS LÄN</t>
        </is>
      </c>
      <c r="E549" t="inlineStr">
        <is>
          <t>HYLTE</t>
        </is>
      </c>
      <c r="G549" t="n">
        <v>0.6</v>
      </c>
      <c r="H549" t="n">
        <v>0</v>
      </c>
      <c r="I549" t="n">
        <v>0</v>
      </c>
      <c r="J549" t="n">
        <v>0</v>
      </c>
      <c r="K549" t="n">
        <v>0</v>
      </c>
      <c r="L549" t="n">
        <v>0</v>
      </c>
      <c r="M549" t="n">
        <v>0</v>
      </c>
      <c r="N549" t="n">
        <v>0</v>
      </c>
      <c r="O549" t="n">
        <v>0</v>
      </c>
      <c r="P549" t="n">
        <v>0</v>
      </c>
      <c r="Q549" t="n">
        <v>0</v>
      </c>
      <c r="R549" s="2" t="inlineStr"/>
    </row>
    <row r="550" ht="15" customHeight="1">
      <c r="A550" t="inlineStr">
        <is>
          <t>A 39084-2025</t>
        </is>
      </c>
      <c r="B550" s="1" t="n">
        <v>45887</v>
      </c>
      <c r="C550" s="1" t="n">
        <v>45983</v>
      </c>
      <c r="D550" t="inlineStr">
        <is>
          <t>HALLANDS LÄN</t>
        </is>
      </c>
      <c r="E550" t="inlineStr">
        <is>
          <t>HYLTE</t>
        </is>
      </c>
      <c r="G550" t="n">
        <v>2</v>
      </c>
      <c r="H550" t="n">
        <v>0</v>
      </c>
      <c r="I550" t="n">
        <v>0</v>
      </c>
      <c r="J550" t="n">
        <v>0</v>
      </c>
      <c r="K550" t="n">
        <v>0</v>
      </c>
      <c r="L550" t="n">
        <v>0</v>
      </c>
      <c r="M550" t="n">
        <v>0</v>
      </c>
      <c r="N550" t="n">
        <v>0</v>
      </c>
      <c r="O550" t="n">
        <v>0</v>
      </c>
      <c r="P550" t="n">
        <v>0</v>
      </c>
      <c r="Q550" t="n">
        <v>0</v>
      </c>
      <c r="R550" s="2" t="inlineStr"/>
    </row>
    <row r="551" ht="15" customHeight="1">
      <c r="A551" t="inlineStr">
        <is>
          <t>A 48821-2025</t>
        </is>
      </c>
      <c r="B551" s="1" t="n">
        <v>45937.37216435185</v>
      </c>
      <c r="C551" s="1" t="n">
        <v>45983</v>
      </c>
      <c r="D551" t="inlineStr">
        <is>
          <t>HALLANDS LÄN</t>
        </is>
      </c>
      <c r="E551" t="inlineStr">
        <is>
          <t>HYLTE</t>
        </is>
      </c>
      <c r="G551" t="n">
        <v>1.1</v>
      </c>
      <c r="H551" t="n">
        <v>0</v>
      </c>
      <c r="I551" t="n">
        <v>0</v>
      </c>
      <c r="J551" t="n">
        <v>0</v>
      </c>
      <c r="K551" t="n">
        <v>0</v>
      </c>
      <c r="L551" t="n">
        <v>0</v>
      </c>
      <c r="M551" t="n">
        <v>0</v>
      </c>
      <c r="N551" t="n">
        <v>0</v>
      </c>
      <c r="O551" t="n">
        <v>0</v>
      </c>
      <c r="P551" t="n">
        <v>0</v>
      </c>
      <c r="Q551" t="n">
        <v>0</v>
      </c>
      <c r="R551" s="2" t="inlineStr"/>
    </row>
    <row r="552" ht="15" customHeight="1">
      <c r="A552" t="inlineStr">
        <is>
          <t>A 57512-2025</t>
        </is>
      </c>
      <c r="B552" s="1" t="n">
        <v>45980.60736111111</v>
      </c>
      <c r="C552" s="1" t="n">
        <v>45983</v>
      </c>
      <c r="D552" t="inlineStr">
        <is>
          <t>HALLANDS LÄN</t>
        </is>
      </c>
      <c r="E552" t="inlineStr">
        <is>
          <t>HYLTE</t>
        </is>
      </c>
      <c r="G552" t="n">
        <v>2.2</v>
      </c>
      <c r="H552" t="n">
        <v>0</v>
      </c>
      <c r="I552" t="n">
        <v>0</v>
      </c>
      <c r="J552" t="n">
        <v>0</v>
      </c>
      <c r="K552" t="n">
        <v>0</v>
      </c>
      <c r="L552" t="n">
        <v>0</v>
      </c>
      <c r="M552" t="n">
        <v>0</v>
      </c>
      <c r="N552" t="n">
        <v>0</v>
      </c>
      <c r="O552" t="n">
        <v>0</v>
      </c>
      <c r="P552" t="n">
        <v>0</v>
      </c>
      <c r="Q552" t="n">
        <v>0</v>
      </c>
      <c r="R552" s="2" t="inlineStr"/>
    </row>
    <row r="553" ht="15" customHeight="1">
      <c r="A553" t="inlineStr">
        <is>
          <t>A 30821-2021</t>
        </is>
      </c>
      <c r="B553" s="1" t="n">
        <v>44365</v>
      </c>
      <c r="C553" s="1" t="n">
        <v>45983</v>
      </c>
      <c r="D553" t="inlineStr">
        <is>
          <t>HALLANDS LÄN</t>
        </is>
      </c>
      <c r="E553" t="inlineStr">
        <is>
          <t>HYLTE</t>
        </is>
      </c>
      <c r="G553" t="n">
        <v>3.5</v>
      </c>
      <c r="H553" t="n">
        <v>0</v>
      </c>
      <c r="I553" t="n">
        <v>0</v>
      </c>
      <c r="J553" t="n">
        <v>0</v>
      </c>
      <c r="K553" t="n">
        <v>0</v>
      </c>
      <c r="L553" t="n">
        <v>0</v>
      </c>
      <c r="M553" t="n">
        <v>0</v>
      </c>
      <c r="N553" t="n">
        <v>0</v>
      </c>
      <c r="O553" t="n">
        <v>0</v>
      </c>
      <c r="P553" t="n">
        <v>0</v>
      </c>
      <c r="Q553" t="n">
        <v>0</v>
      </c>
      <c r="R553" s="2" t="inlineStr"/>
    </row>
    <row r="554" ht="15" customHeight="1">
      <c r="A554" t="inlineStr">
        <is>
          <t>A 57219-2025</t>
        </is>
      </c>
      <c r="B554" s="1" t="n">
        <v>45979.6125462963</v>
      </c>
      <c r="C554" s="1" t="n">
        <v>45983</v>
      </c>
      <c r="D554" t="inlineStr">
        <is>
          <t>HALLANDS LÄN</t>
        </is>
      </c>
      <c r="E554" t="inlineStr">
        <is>
          <t>HYLTE</t>
        </is>
      </c>
      <c r="G554" t="n">
        <v>4.7</v>
      </c>
      <c r="H554" t="n">
        <v>0</v>
      </c>
      <c r="I554" t="n">
        <v>0</v>
      </c>
      <c r="J554" t="n">
        <v>0</v>
      </c>
      <c r="K554" t="n">
        <v>0</v>
      </c>
      <c r="L554" t="n">
        <v>0</v>
      </c>
      <c r="M554" t="n">
        <v>0</v>
      </c>
      <c r="N554" t="n">
        <v>0</v>
      </c>
      <c r="O554" t="n">
        <v>0</v>
      </c>
      <c r="P554" t="n">
        <v>0</v>
      </c>
      <c r="Q554" t="n">
        <v>0</v>
      </c>
      <c r="R554" s="2" t="inlineStr"/>
    </row>
    <row r="555" ht="15" customHeight="1">
      <c r="A555" t="inlineStr">
        <is>
          <t>A 5955-2021</t>
        </is>
      </c>
      <c r="B555" s="1" t="n">
        <v>44231</v>
      </c>
      <c r="C555" s="1" t="n">
        <v>45983</v>
      </c>
      <c r="D555" t="inlineStr">
        <is>
          <t>HALLANDS LÄN</t>
        </is>
      </c>
      <c r="E555" t="inlineStr">
        <is>
          <t>HYLTE</t>
        </is>
      </c>
      <c r="G555" t="n">
        <v>4.3</v>
      </c>
      <c r="H555" t="n">
        <v>0</v>
      </c>
      <c r="I555" t="n">
        <v>0</v>
      </c>
      <c r="J555" t="n">
        <v>0</v>
      </c>
      <c r="K555" t="n">
        <v>0</v>
      </c>
      <c r="L555" t="n">
        <v>0</v>
      </c>
      <c r="M555" t="n">
        <v>0</v>
      </c>
      <c r="N555" t="n">
        <v>0</v>
      </c>
      <c r="O555" t="n">
        <v>0</v>
      </c>
      <c r="P555" t="n">
        <v>0</v>
      </c>
      <c r="Q555" t="n">
        <v>0</v>
      </c>
      <c r="R555" s="2" t="inlineStr"/>
    </row>
    <row r="556" ht="15" customHeight="1">
      <c r="A556" t="inlineStr">
        <is>
          <t>A 57106-2025</t>
        </is>
      </c>
      <c r="B556" s="1" t="n">
        <v>45979</v>
      </c>
      <c r="C556" s="1" t="n">
        <v>45983</v>
      </c>
      <c r="D556" t="inlineStr">
        <is>
          <t>HALLANDS LÄN</t>
        </is>
      </c>
      <c r="E556" t="inlineStr">
        <is>
          <t>HYLTE</t>
        </is>
      </c>
      <c r="G556" t="n">
        <v>1.9</v>
      </c>
      <c r="H556" t="n">
        <v>0</v>
      </c>
      <c r="I556" t="n">
        <v>0</v>
      </c>
      <c r="J556" t="n">
        <v>0</v>
      </c>
      <c r="K556" t="n">
        <v>0</v>
      </c>
      <c r="L556" t="n">
        <v>0</v>
      </c>
      <c r="M556" t="n">
        <v>0</v>
      </c>
      <c r="N556" t="n">
        <v>0</v>
      </c>
      <c r="O556" t="n">
        <v>0</v>
      </c>
      <c r="P556" t="n">
        <v>0</v>
      </c>
      <c r="Q556" t="n">
        <v>0</v>
      </c>
      <c r="R556" s="2" t="inlineStr"/>
    </row>
    <row r="557" ht="15" customHeight="1">
      <c r="A557" t="inlineStr">
        <is>
          <t>A 53207-2023</t>
        </is>
      </c>
      <c r="B557" s="1" t="n">
        <v>45229</v>
      </c>
      <c r="C557" s="1" t="n">
        <v>45983</v>
      </c>
      <c r="D557" t="inlineStr">
        <is>
          <t>HALLANDS LÄN</t>
        </is>
      </c>
      <c r="E557" t="inlineStr">
        <is>
          <t>HYLTE</t>
        </is>
      </c>
      <c r="G557" t="n">
        <v>5.6</v>
      </c>
      <c r="H557" t="n">
        <v>0</v>
      </c>
      <c r="I557" t="n">
        <v>0</v>
      </c>
      <c r="J557" t="n">
        <v>0</v>
      </c>
      <c r="K557" t="n">
        <v>0</v>
      </c>
      <c r="L557" t="n">
        <v>0</v>
      </c>
      <c r="M557" t="n">
        <v>0</v>
      </c>
      <c r="N557" t="n">
        <v>0</v>
      </c>
      <c r="O557" t="n">
        <v>0</v>
      </c>
      <c r="P557" t="n">
        <v>0</v>
      </c>
      <c r="Q557" t="n">
        <v>0</v>
      </c>
      <c r="R557" s="2" t="inlineStr"/>
    </row>
    <row r="558" ht="15" customHeight="1">
      <c r="A558" t="inlineStr">
        <is>
          <t>A 19597-2025</t>
        </is>
      </c>
      <c r="B558" s="1" t="n">
        <v>45770.58237268519</v>
      </c>
      <c r="C558" s="1" t="n">
        <v>45983</v>
      </c>
      <c r="D558" t="inlineStr">
        <is>
          <t>HALLANDS LÄN</t>
        </is>
      </c>
      <c r="E558" t="inlineStr">
        <is>
          <t>HYLTE</t>
        </is>
      </c>
      <c r="G558" t="n">
        <v>1.3</v>
      </c>
      <c r="H558" t="n">
        <v>0</v>
      </c>
      <c r="I558" t="n">
        <v>0</v>
      </c>
      <c r="J558" t="n">
        <v>0</v>
      </c>
      <c r="K558" t="n">
        <v>0</v>
      </c>
      <c r="L558" t="n">
        <v>0</v>
      </c>
      <c r="M558" t="n">
        <v>0</v>
      </c>
      <c r="N558" t="n">
        <v>0</v>
      </c>
      <c r="O558" t="n">
        <v>0</v>
      </c>
      <c r="P558" t="n">
        <v>0</v>
      </c>
      <c r="Q558" t="n">
        <v>0</v>
      </c>
      <c r="R558" s="2" t="inlineStr"/>
    </row>
    <row r="559" ht="15" customHeight="1">
      <c r="A559" t="inlineStr">
        <is>
          <t>A 15813-2025</t>
        </is>
      </c>
      <c r="B559" s="1" t="n">
        <v>45748.6680787037</v>
      </c>
      <c r="C559" s="1" t="n">
        <v>45983</v>
      </c>
      <c r="D559" t="inlineStr">
        <is>
          <t>HALLANDS LÄN</t>
        </is>
      </c>
      <c r="E559" t="inlineStr">
        <is>
          <t>HYLTE</t>
        </is>
      </c>
      <c r="G559" t="n">
        <v>1.6</v>
      </c>
      <c r="H559" t="n">
        <v>0</v>
      </c>
      <c r="I559" t="n">
        <v>0</v>
      </c>
      <c r="J559" t="n">
        <v>0</v>
      </c>
      <c r="K559" t="n">
        <v>0</v>
      </c>
      <c r="L559" t="n">
        <v>0</v>
      </c>
      <c r="M559" t="n">
        <v>0</v>
      </c>
      <c r="N559" t="n">
        <v>0</v>
      </c>
      <c r="O559" t="n">
        <v>0</v>
      </c>
      <c r="P559" t="n">
        <v>0</v>
      </c>
      <c r="Q559" t="n">
        <v>0</v>
      </c>
      <c r="R559" s="2" t="inlineStr"/>
    </row>
    <row r="560" ht="15" customHeight="1">
      <c r="A560" t="inlineStr">
        <is>
          <t>A 14011-2021</t>
        </is>
      </c>
      <c r="B560" s="1" t="n">
        <v>44277.6359375</v>
      </c>
      <c r="C560" s="1" t="n">
        <v>45983</v>
      </c>
      <c r="D560" t="inlineStr">
        <is>
          <t>HALLANDS LÄN</t>
        </is>
      </c>
      <c r="E560" t="inlineStr">
        <is>
          <t>HYLTE</t>
        </is>
      </c>
      <c r="G560" t="n">
        <v>0.9</v>
      </c>
      <c r="H560" t="n">
        <v>0</v>
      </c>
      <c r="I560" t="n">
        <v>0</v>
      </c>
      <c r="J560" t="n">
        <v>0</v>
      </c>
      <c r="K560" t="n">
        <v>0</v>
      </c>
      <c r="L560" t="n">
        <v>0</v>
      </c>
      <c r="M560" t="n">
        <v>0</v>
      </c>
      <c r="N560" t="n">
        <v>0</v>
      </c>
      <c r="O560" t="n">
        <v>0</v>
      </c>
      <c r="P560" t="n">
        <v>0</v>
      </c>
      <c r="Q560" t="n">
        <v>0</v>
      </c>
      <c r="R560" s="2" t="inlineStr"/>
    </row>
    <row r="561" ht="15" customHeight="1">
      <c r="A561" t="inlineStr">
        <is>
          <t>A 49218-2025</t>
        </is>
      </c>
      <c r="B561" s="1" t="n">
        <v>45938</v>
      </c>
      <c r="C561" s="1" t="n">
        <v>45983</v>
      </c>
      <c r="D561" t="inlineStr">
        <is>
          <t>HALLANDS LÄN</t>
        </is>
      </c>
      <c r="E561" t="inlineStr">
        <is>
          <t>HYLTE</t>
        </is>
      </c>
      <c r="G561" t="n">
        <v>1.1</v>
      </c>
      <c r="H561" t="n">
        <v>0</v>
      </c>
      <c r="I561" t="n">
        <v>0</v>
      </c>
      <c r="J561" t="n">
        <v>0</v>
      </c>
      <c r="K561" t="n">
        <v>0</v>
      </c>
      <c r="L561" t="n">
        <v>0</v>
      </c>
      <c r="M561" t="n">
        <v>0</v>
      </c>
      <c r="N561" t="n">
        <v>0</v>
      </c>
      <c r="O561" t="n">
        <v>0</v>
      </c>
      <c r="P561" t="n">
        <v>0</v>
      </c>
      <c r="Q561" t="n">
        <v>0</v>
      </c>
      <c r="R561" s="2" t="inlineStr"/>
    </row>
    <row r="562" ht="15" customHeight="1">
      <c r="A562" t="inlineStr">
        <is>
          <t>A 49345-2025</t>
        </is>
      </c>
      <c r="B562" s="1" t="n">
        <v>45938.6012962963</v>
      </c>
      <c r="C562" s="1" t="n">
        <v>45983</v>
      </c>
      <c r="D562" t="inlineStr">
        <is>
          <t>HALLANDS LÄN</t>
        </is>
      </c>
      <c r="E562" t="inlineStr">
        <is>
          <t>HYLTE</t>
        </is>
      </c>
      <c r="G562" t="n">
        <v>1</v>
      </c>
      <c r="H562" t="n">
        <v>0</v>
      </c>
      <c r="I562" t="n">
        <v>0</v>
      </c>
      <c r="J562" t="n">
        <v>0</v>
      </c>
      <c r="K562" t="n">
        <v>0</v>
      </c>
      <c r="L562" t="n">
        <v>0</v>
      </c>
      <c r="M562" t="n">
        <v>0</v>
      </c>
      <c r="N562" t="n">
        <v>0</v>
      </c>
      <c r="O562" t="n">
        <v>0</v>
      </c>
      <c r="P562" t="n">
        <v>0</v>
      </c>
      <c r="Q562" t="n">
        <v>0</v>
      </c>
      <c r="R562" s="2" t="inlineStr"/>
    </row>
    <row r="563" ht="15" customHeight="1">
      <c r="A563" t="inlineStr">
        <is>
          <t>A 57781-2025</t>
        </is>
      </c>
      <c r="B563" s="1" t="n">
        <v>45981</v>
      </c>
      <c r="C563" s="1" t="n">
        <v>45983</v>
      </c>
      <c r="D563" t="inlineStr">
        <is>
          <t>HALLANDS LÄN</t>
        </is>
      </c>
      <c r="E563" t="inlineStr">
        <is>
          <t>HYLTE</t>
        </is>
      </c>
      <c r="G563" t="n">
        <v>2.1</v>
      </c>
      <c r="H563" t="n">
        <v>0</v>
      </c>
      <c r="I563" t="n">
        <v>0</v>
      </c>
      <c r="J563" t="n">
        <v>0</v>
      </c>
      <c r="K563" t="n">
        <v>0</v>
      </c>
      <c r="L563" t="n">
        <v>0</v>
      </c>
      <c r="M563" t="n">
        <v>0</v>
      </c>
      <c r="N563" t="n">
        <v>0</v>
      </c>
      <c r="O563" t="n">
        <v>0</v>
      </c>
      <c r="P563" t="n">
        <v>0</v>
      </c>
      <c r="Q563" t="n">
        <v>0</v>
      </c>
      <c r="R563" s="2" t="inlineStr"/>
    </row>
    <row r="564" ht="15" customHeight="1">
      <c r="A564" t="inlineStr">
        <is>
          <t>A 31076-2024</t>
        </is>
      </c>
      <c r="B564" s="1" t="n">
        <v>45502.46032407408</v>
      </c>
      <c r="C564" s="1" t="n">
        <v>45983</v>
      </c>
      <c r="D564" t="inlineStr">
        <is>
          <t>HALLANDS LÄN</t>
        </is>
      </c>
      <c r="E564" t="inlineStr">
        <is>
          <t>HYLTE</t>
        </is>
      </c>
      <c r="G564" t="n">
        <v>5.3</v>
      </c>
      <c r="H564" t="n">
        <v>0</v>
      </c>
      <c r="I564" t="n">
        <v>0</v>
      </c>
      <c r="J564" t="n">
        <v>0</v>
      </c>
      <c r="K564" t="n">
        <v>0</v>
      </c>
      <c r="L564" t="n">
        <v>0</v>
      </c>
      <c r="M564" t="n">
        <v>0</v>
      </c>
      <c r="N564" t="n">
        <v>0</v>
      </c>
      <c r="O564" t="n">
        <v>0</v>
      </c>
      <c r="P564" t="n">
        <v>0</v>
      </c>
      <c r="Q564" t="n">
        <v>0</v>
      </c>
      <c r="R564" s="2" t="inlineStr"/>
    </row>
    <row r="565" ht="15" customHeight="1">
      <c r="A565" t="inlineStr">
        <is>
          <t>A 21453-2021</t>
        </is>
      </c>
      <c r="B565" s="1" t="n">
        <v>44321.46956018519</v>
      </c>
      <c r="C565" s="1" t="n">
        <v>45983</v>
      </c>
      <c r="D565" t="inlineStr">
        <is>
          <t>HALLANDS LÄN</t>
        </is>
      </c>
      <c r="E565" t="inlineStr">
        <is>
          <t>HYLTE</t>
        </is>
      </c>
      <c r="G565" t="n">
        <v>0.7</v>
      </c>
      <c r="H565" t="n">
        <v>0</v>
      </c>
      <c r="I565" t="n">
        <v>0</v>
      </c>
      <c r="J565" t="n">
        <v>0</v>
      </c>
      <c r="K565" t="n">
        <v>0</v>
      </c>
      <c r="L565" t="n">
        <v>0</v>
      </c>
      <c r="M565" t="n">
        <v>0</v>
      </c>
      <c r="N565" t="n">
        <v>0</v>
      </c>
      <c r="O565" t="n">
        <v>0</v>
      </c>
      <c r="P565" t="n">
        <v>0</v>
      </c>
      <c r="Q565" t="n">
        <v>0</v>
      </c>
      <c r="R565" s="2" t="inlineStr"/>
    </row>
    <row r="566" ht="15" customHeight="1">
      <c r="A566" t="inlineStr">
        <is>
          <t>A 20523-2025</t>
        </is>
      </c>
      <c r="B566" s="1" t="n">
        <v>45775.60403935185</v>
      </c>
      <c r="C566" s="1" t="n">
        <v>45983</v>
      </c>
      <c r="D566" t="inlineStr">
        <is>
          <t>HALLANDS LÄN</t>
        </is>
      </c>
      <c r="E566" t="inlineStr">
        <is>
          <t>HYLTE</t>
        </is>
      </c>
      <c r="G566" t="n">
        <v>1.6</v>
      </c>
      <c r="H566" t="n">
        <v>0</v>
      </c>
      <c r="I566" t="n">
        <v>0</v>
      </c>
      <c r="J566" t="n">
        <v>0</v>
      </c>
      <c r="K566" t="n">
        <v>0</v>
      </c>
      <c r="L566" t="n">
        <v>0</v>
      </c>
      <c r="M566" t="n">
        <v>0</v>
      </c>
      <c r="N566" t="n">
        <v>0</v>
      </c>
      <c r="O566" t="n">
        <v>0</v>
      </c>
      <c r="P566" t="n">
        <v>0</v>
      </c>
      <c r="Q566" t="n">
        <v>0</v>
      </c>
      <c r="R566" s="2" t="inlineStr"/>
    </row>
    <row r="567" ht="15" customHeight="1">
      <c r="A567" t="inlineStr">
        <is>
          <t>A 50152-2021</t>
        </is>
      </c>
      <c r="B567" s="1" t="n">
        <v>44456.73003472222</v>
      </c>
      <c r="C567" s="1" t="n">
        <v>45983</v>
      </c>
      <c r="D567" t="inlineStr">
        <is>
          <t>HALLANDS LÄN</t>
        </is>
      </c>
      <c r="E567" t="inlineStr">
        <is>
          <t>HYLTE</t>
        </is>
      </c>
      <c r="G567" t="n">
        <v>3.6</v>
      </c>
      <c r="H567" t="n">
        <v>0</v>
      </c>
      <c r="I567" t="n">
        <v>0</v>
      </c>
      <c r="J567" t="n">
        <v>0</v>
      </c>
      <c r="K567" t="n">
        <v>0</v>
      </c>
      <c r="L567" t="n">
        <v>0</v>
      </c>
      <c r="M567" t="n">
        <v>0</v>
      </c>
      <c r="N567" t="n">
        <v>0</v>
      </c>
      <c r="O567" t="n">
        <v>0</v>
      </c>
      <c r="P567" t="n">
        <v>0</v>
      </c>
      <c r="Q567" t="n">
        <v>0</v>
      </c>
      <c r="R567" s="2" t="inlineStr"/>
    </row>
    <row r="568" ht="15" customHeight="1">
      <c r="A568" t="inlineStr">
        <is>
          <t>A 60328-2022</t>
        </is>
      </c>
      <c r="B568" s="1" t="n">
        <v>44910.59451388889</v>
      </c>
      <c r="C568" s="1" t="n">
        <v>45983</v>
      </c>
      <c r="D568" t="inlineStr">
        <is>
          <t>HALLANDS LÄN</t>
        </is>
      </c>
      <c r="E568" t="inlineStr">
        <is>
          <t>HYLTE</t>
        </is>
      </c>
      <c r="G568" t="n">
        <v>2.5</v>
      </c>
      <c r="H568" t="n">
        <v>0</v>
      </c>
      <c r="I568" t="n">
        <v>0</v>
      </c>
      <c r="J568" t="n">
        <v>0</v>
      </c>
      <c r="K568" t="n">
        <v>0</v>
      </c>
      <c r="L568" t="n">
        <v>0</v>
      </c>
      <c r="M568" t="n">
        <v>0</v>
      </c>
      <c r="N568" t="n">
        <v>0</v>
      </c>
      <c r="O568" t="n">
        <v>0</v>
      </c>
      <c r="P568" t="n">
        <v>0</v>
      </c>
      <c r="Q568" t="n">
        <v>0</v>
      </c>
      <c r="R568" s="2" t="inlineStr"/>
    </row>
    <row r="569" ht="15" customHeight="1">
      <c r="A569" t="inlineStr">
        <is>
          <t>A 49635-2025</t>
        </is>
      </c>
      <c r="B569" s="1" t="n">
        <v>45939.60835648148</v>
      </c>
      <c r="C569" s="1" t="n">
        <v>45983</v>
      </c>
      <c r="D569" t="inlineStr">
        <is>
          <t>HALLANDS LÄN</t>
        </is>
      </c>
      <c r="E569" t="inlineStr">
        <is>
          <t>HYLTE</t>
        </is>
      </c>
      <c r="F569" t="inlineStr">
        <is>
          <t>Kyrkan</t>
        </is>
      </c>
      <c r="G569" t="n">
        <v>7.2</v>
      </c>
      <c r="H569" t="n">
        <v>0</v>
      </c>
      <c r="I569" t="n">
        <v>0</v>
      </c>
      <c r="J569" t="n">
        <v>0</v>
      </c>
      <c r="K569" t="n">
        <v>0</v>
      </c>
      <c r="L569" t="n">
        <v>0</v>
      </c>
      <c r="M569" t="n">
        <v>0</v>
      </c>
      <c r="N569" t="n">
        <v>0</v>
      </c>
      <c r="O569" t="n">
        <v>0</v>
      </c>
      <c r="P569" t="n">
        <v>0</v>
      </c>
      <c r="Q569" t="n">
        <v>0</v>
      </c>
      <c r="R569" s="2" t="inlineStr"/>
    </row>
    <row r="570" ht="15" customHeight="1">
      <c r="A570" t="inlineStr">
        <is>
          <t>A 57794-2025</t>
        </is>
      </c>
      <c r="B570" s="1" t="n">
        <v>45981</v>
      </c>
      <c r="C570" s="1" t="n">
        <v>45983</v>
      </c>
      <c r="D570" t="inlineStr">
        <is>
          <t>HALLANDS LÄN</t>
        </is>
      </c>
      <c r="E570" t="inlineStr">
        <is>
          <t>HYLTE</t>
        </is>
      </c>
      <c r="G570" t="n">
        <v>3.4</v>
      </c>
      <c r="H570" t="n">
        <v>0</v>
      </c>
      <c r="I570" t="n">
        <v>0</v>
      </c>
      <c r="J570" t="n">
        <v>0</v>
      </c>
      <c r="K570" t="n">
        <v>0</v>
      </c>
      <c r="L570" t="n">
        <v>0</v>
      </c>
      <c r="M570" t="n">
        <v>0</v>
      </c>
      <c r="N570" t="n">
        <v>0</v>
      </c>
      <c r="O570" t="n">
        <v>0</v>
      </c>
      <c r="P570" t="n">
        <v>0</v>
      </c>
      <c r="Q570" t="n">
        <v>0</v>
      </c>
      <c r="R570" s="2" t="inlineStr"/>
    </row>
    <row r="571" ht="15" customHeight="1">
      <c r="A571" t="inlineStr">
        <is>
          <t>A 49570-2025</t>
        </is>
      </c>
      <c r="B571" s="1" t="n">
        <v>45939.48560185185</v>
      </c>
      <c r="C571" s="1" t="n">
        <v>45983</v>
      </c>
      <c r="D571" t="inlineStr">
        <is>
          <t>HALLANDS LÄN</t>
        </is>
      </c>
      <c r="E571" t="inlineStr">
        <is>
          <t>HYLTE</t>
        </is>
      </c>
      <c r="G571" t="n">
        <v>0.6</v>
      </c>
      <c r="H571" t="n">
        <v>0</v>
      </c>
      <c r="I571" t="n">
        <v>0</v>
      </c>
      <c r="J571" t="n">
        <v>0</v>
      </c>
      <c r="K571" t="n">
        <v>0</v>
      </c>
      <c r="L571" t="n">
        <v>0</v>
      </c>
      <c r="M571" t="n">
        <v>0</v>
      </c>
      <c r="N571" t="n">
        <v>0</v>
      </c>
      <c r="O571" t="n">
        <v>0</v>
      </c>
      <c r="P571" t="n">
        <v>0</v>
      </c>
      <c r="Q571" t="n">
        <v>0</v>
      </c>
      <c r="R571" s="2" t="inlineStr"/>
    </row>
    <row r="572" ht="15" customHeight="1">
      <c r="A572" t="inlineStr">
        <is>
          <t>A 56441-2021</t>
        </is>
      </c>
      <c r="B572" s="1" t="n">
        <v>44477</v>
      </c>
      <c r="C572" s="1" t="n">
        <v>45983</v>
      </c>
      <c r="D572" t="inlineStr">
        <is>
          <t>HALLANDS LÄN</t>
        </is>
      </c>
      <c r="E572" t="inlineStr">
        <is>
          <t>HYLTE</t>
        </is>
      </c>
      <c r="G572" t="n">
        <v>3.5</v>
      </c>
      <c r="H572" t="n">
        <v>0</v>
      </c>
      <c r="I572" t="n">
        <v>0</v>
      </c>
      <c r="J572" t="n">
        <v>0</v>
      </c>
      <c r="K572" t="n">
        <v>0</v>
      </c>
      <c r="L572" t="n">
        <v>0</v>
      </c>
      <c r="M572" t="n">
        <v>0</v>
      </c>
      <c r="N572" t="n">
        <v>0</v>
      </c>
      <c r="O572" t="n">
        <v>0</v>
      </c>
      <c r="P572" t="n">
        <v>0</v>
      </c>
      <c r="Q572" t="n">
        <v>0</v>
      </c>
      <c r="R572" s="2" t="inlineStr"/>
    </row>
    <row r="573" ht="15" customHeight="1">
      <c r="A573" t="inlineStr">
        <is>
          <t>A 6712-2025</t>
        </is>
      </c>
      <c r="B573" s="1" t="n">
        <v>45700</v>
      </c>
      <c r="C573" s="1" t="n">
        <v>45983</v>
      </c>
      <c r="D573" t="inlineStr">
        <is>
          <t>HALLANDS LÄN</t>
        </is>
      </c>
      <c r="E573" t="inlineStr">
        <is>
          <t>HYLTE</t>
        </is>
      </c>
      <c r="G573" t="n">
        <v>3.3</v>
      </c>
      <c r="H573" t="n">
        <v>0</v>
      </c>
      <c r="I573" t="n">
        <v>0</v>
      </c>
      <c r="J573" t="n">
        <v>0</v>
      </c>
      <c r="K573" t="n">
        <v>0</v>
      </c>
      <c r="L573" t="n">
        <v>0</v>
      </c>
      <c r="M573" t="n">
        <v>0</v>
      </c>
      <c r="N573" t="n">
        <v>0</v>
      </c>
      <c r="O573" t="n">
        <v>0</v>
      </c>
      <c r="P573" t="n">
        <v>0</v>
      </c>
      <c r="Q573" t="n">
        <v>0</v>
      </c>
      <c r="R573" s="2" t="inlineStr"/>
    </row>
    <row r="574" ht="15" customHeight="1">
      <c r="A574" t="inlineStr">
        <is>
          <t>A 15288-2023</t>
        </is>
      </c>
      <c r="B574" s="1" t="n">
        <v>45019</v>
      </c>
      <c r="C574" s="1" t="n">
        <v>45983</v>
      </c>
      <c r="D574" t="inlineStr">
        <is>
          <t>HALLANDS LÄN</t>
        </is>
      </c>
      <c r="E574" t="inlineStr">
        <is>
          <t>HYLTE</t>
        </is>
      </c>
      <c r="G574" t="n">
        <v>5.8</v>
      </c>
      <c r="H574" t="n">
        <v>0</v>
      </c>
      <c r="I574" t="n">
        <v>0</v>
      </c>
      <c r="J574" t="n">
        <v>0</v>
      </c>
      <c r="K574" t="n">
        <v>0</v>
      </c>
      <c r="L574" t="n">
        <v>0</v>
      </c>
      <c r="M574" t="n">
        <v>0</v>
      </c>
      <c r="N574" t="n">
        <v>0</v>
      </c>
      <c r="O574" t="n">
        <v>0</v>
      </c>
      <c r="P574" t="n">
        <v>0</v>
      </c>
      <c r="Q574" t="n">
        <v>0</v>
      </c>
      <c r="R574" s="2" t="inlineStr"/>
    </row>
    <row r="575" ht="15" customHeight="1">
      <c r="A575" t="inlineStr">
        <is>
          <t>A 59897-2023</t>
        </is>
      </c>
      <c r="B575" s="1" t="n">
        <v>45257</v>
      </c>
      <c r="C575" s="1" t="n">
        <v>45983</v>
      </c>
      <c r="D575" t="inlineStr">
        <is>
          <t>HALLANDS LÄN</t>
        </is>
      </c>
      <c r="E575" t="inlineStr">
        <is>
          <t>HYLTE</t>
        </is>
      </c>
      <c r="G575" t="n">
        <v>4</v>
      </c>
      <c r="H575" t="n">
        <v>0</v>
      </c>
      <c r="I575" t="n">
        <v>0</v>
      </c>
      <c r="J575" t="n">
        <v>0</v>
      </c>
      <c r="K575" t="n">
        <v>0</v>
      </c>
      <c r="L575" t="n">
        <v>0</v>
      </c>
      <c r="M575" t="n">
        <v>0</v>
      </c>
      <c r="N575" t="n">
        <v>0</v>
      </c>
      <c r="O575" t="n">
        <v>0</v>
      </c>
      <c r="P575" t="n">
        <v>0</v>
      </c>
      <c r="Q575" t="n">
        <v>0</v>
      </c>
      <c r="R575" s="2" t="inlineStr"/>
    </row>
    <row r="576" ht="15" customHeight="1">
      <c r="A576" t="inlineStr">
        <is>
          <t>A 16711-2025</t>
        </is>
      </c>
      <c r="B576" s="1" t="n">
        <v>45754.47988425926</v>
      </c>
      <c r="C576" s="1" t="n">
        <v>45983</v>
      </c>
      <c r="D576" t="inlineStr">
        <is>
          <t>HALLANDS LÄN</t>
        </is>
      </c>
      <c r="E576" t="inlineStr">
        <is>
          <t>HYLTE</t>
        </is>
      </c>
      <c r="G576" t="n">
        <v>0.4</v>
      </c>
      <c r="H576" t="n">
        <v>0</v>
      </c>
      <c r="I576" t="n">
        <v>0</v>
      </c>
      <c r="J576" t="n">
        <v>0</v>
      </c>
      <c r="K576" t="n">
        <v>0</v>
      </c>
      <c r="L576" t="n">
        <v>0</v>
      </c>
      <c r="M576" t="n">
        <v>0</v>
      </c>
      <c r="N576" t="n">
        <v>0</v>
      </c>
      <c r="O576" t="n">
        <v>0</v>
      </c>
      <c r="P576" t="n">
        <v>0</v>
      </c>
      <c r="Q576" t="n">
        <v>0</v>
      </c>
      <c r="R576" s="2" t="inlineStr"/>
    </row>
    <row r="577" ht="15" customHeight="1">
      <c r="A577" t="inlineStr">
        <is>
          <t>A 26313-2023</t>
        </is>
      </c>
      <c r="B577" s="1" t="n">
        <v>45091</v>
      </c>
      <c r="C577" s="1" t="n">
        <v>45983</v>
      </c>
      <c r="D577" t="inlineStr">
        <is>
          <t>HALLANDS LÄN</t>
        </is>
      </c>
      <c r="E577" t="inlineStr">
        <is>
          <t>HYLTE</t>
        </is>
      </c>
      <c r="G577" t="n">
        <v>1.7</v>
      </c>
      <c r="H577" t="n">
        <v>0</v>
      </c>
      <c r="I577" t="n">
        <v>0</v>
      </c>
      <c r="J577" t="n">
        <v>0</v>
      </c>
      <c r="K577" t="n">
        <v>0</v>
      </c>
      <c r="L577" t="n">
        <v>0</v>
      </c>
      <c r="M577" t="n">
        <v>0</v>
      </c>
      <c r="N577" t="n">
        <v>0</v>
      </c>
      <c r="O577" t="n">
        <v>0</v>
      </c>
      <c r="P577" t="n">
        <v>0</v>
      </c>
      <c r="Q577" t="n">
        <v>0</v>
      </c>
      <c r="R577" s="2" t="inlineStr"/>
    </row>
    <row r="578" ht="15" customHeight="1">
      <c r="A578" t="inlineStr">
        <is>
          <t>A 49599-2021</t>
        </is>
      </c>
      <c r="B578" s="1" t="n">
        <v>44455.40655092592</v>
      </c>
      <c r="C578" s="1" t="n">
        <v>45983</v>
      </c>
      <c r="D578" t="inlineStr">
        <is>
          <t>HALLANDS LÄN</t>
        </is>
      </c>
      <c r="E578" t="inlineStr">
        <is>
          <t>HYLTE</t>
        </is>
      </c>
      <c r="G578" t="n">
        <v>1.7</v>
      </c>
      <c r="H578" t="n">
        <v>0</v>
      </c>
      <c r="I578" t="n">
        <v>0</v>
      </c>
      <c r="J578" t="n">
        <v>0</v>
      </c>
      <c r="K578" t="n">
        <v>0</v>
      </c>
      <c r="L578" t="n">
        <v>0</v>
      </c>
      <c r="M578" t="n">
        <v>0</v>
      </c>
      <c r="N578" t="n">
        <v>0</v>
      </c>
      <c r="O578" t="n">
        <v>0</v>
      </c>
      <c r="P578" t="n">
        <v>0</v>
      </c>
      <c r="Q578" t="n">
        <v>0</v>
      </c>
      <c r="R578" s="2" t="inlineStr"/>
    </row>
    <row r="579" ht="15" customHeight="1">
      <c r="A579" t="inlineStr">
        <is>
          <t>A 16905-2025</t>
        </is>
      </c>
      <c r="B579" s="1" t="n">
        <v>45752</v>
      </c>
      <c r="C579" s="1" t="n">
        <v>45983</v>
      </c>
      <c r="D579" t="inlineStr">
        <is>
          <t>HALLANDS LÄN</t>
        </is>
      </c>
      <c r="E579" t="inlineStr">
        <is>
          <t>HYLTE</t>
        </is>
      </c>
      <c r="F579" t="inlineStr">
        <is>
          <t>Kyrkan</t>
        </is>
      </c>
      <c r="G579" t="n">
        <v>2</v>
      </c>
      <c r="H579" t="n">
        <v>0</v>
      </c>
      <c r="I579" t="n">
        <v>0</v>
      </c>
      <c r="J579" t="n">
        <v>0</v>
      </c>
      <c r="K579" t="n">
        <v>0</v>
      </c>
      <c r="L579" t="n">
        <v>0</v>
      </c>
      <c r="M579" t="n">
        <v>0</v>
      </c>
      <c r="N579" t="n">
        <v>0</v>
      </c>
      <c r="O579" t="n">
        <v>0</v>
      </c>
      <c r="P579" t="n">
        <v>0</v>
      </c>
      <c r="Q579" t="n">
        <v>0</v>
      </c>
      <c r="R579" s="2" t="inlineStr"/>
    </row>
    <row r="580" ht="15" customHeight="1">
      <c r="A580" t="inlineStr">
        <is>
          <t>A 50810-2021</t>
        </is>
      </c>
      <c r="B580" s="1" t="n">
        <v>44460.48165509259</v>
      </c>
      <c r="C580" s="1" t="n">
        <v>45983</v>
      </c>
      <c r="D580" t="inlineStr">
        <is>
          <t>HALLANDS LÄN</t>
        </is>
      </c>
      <c r="E580" t="inlineStr">
        <is>
          <t>HYLTE</t>
        </is>
      </c>
      <c r="G580" t="n">
        <v>3.2</v>
      </c>
      <c r="H580" t="n">
        <v>0</v>
      </c>
      <c r="I580" t="n">
        <v>0</v>
      </c>
      <c r="J580" t="n">
        <v>0</v>
      </c>
      <c r="K580" t="n">
        <v>0</v>
      </c>
      <c r="L580" t="n">
        <v>0</v>
      </c>
      <c r="M580" t="n">
        <v>0</v>
      </c>
      <c r="N580" t="n">
        <v>0</v>
      </c>
      <c r="O580" t="n">
        <v>0</v>
      </c>
      <c r="P580" t="n">
        <v>0</v>
      </c>
      <c r="Q580" t="n">
        <v>0</v>
      </c>
      <c r="R580" s="2" t="inlineStr"/>
    </row>
    <row r="581" ht="15" customHeight="1">
      <c r="A581" t="inlineStr">
        <is>
          <t>A 50814-2021</t>
        </is>
      </c>
      <c r="B581" s="1" t="n">
        <v>44460.48445601852</v>
      </c>
      <c r="C581" s="1" t="n">
        <v>45983</v>
      </c>
      <c r="D581" t="inlineStr">
        <is>
          <t>HALLANDS LÄN</t>
        </is>
      </c>
      <c r="E581" t="inlineStr">
        <is>
          <t>HYLTE</t>
        </is>
      </c>
      <c r="G581" t="n">
        <v>1.7</v>
      </c>
      <c r="H581" t="n">
        <v>0</v>
      </c>
      <c r="I581" t="n">
        <v>0</v>
      </c>
      <c r="J581" t="n">
        <v>0</v>
      </c>
      <c r="K581" t="n">
        <v>0</v>
      </c>
      <c r="L581" t="n">
        <v>0</v>
      </c>
      <c r="M581" t="n">
        <v>0</v>
      </c>
      <c r="N581" t="n">
        <v>0</v>
      </c>
      <c r="O581" t="n">
        <v>0</v>
      </c>
      <c r="P581" t="n">
        <v>0</v>
      </c>
      <c r="Q581" t="n">
        <v>0</v>
      </c>
      <c r="R581" s="2" t="inlineStr"/>
    </row>
    <row r="582" ht="15" customHeight="1">
      <c r="A582" t="inlineStr">
        <is>
          <t>A 51512-2022</t>
        </is>
      </c>
      <c r="B582" s="1" t="n">
        <v>44869</v>
      </c>
      <c r="C582" s="1" t="n">
        <v>45983</v>
      </c>
      <c r="D582" t="inlineStr">
        <is>
          <t>HALLANDS LÄN</t>
        </is>
      </c>
      <c r="E582" t="inlineStr">
        <is>
          <t>HYLTE</t>
        </is>
      </c>
      <c r="G582" t="n">
        <v>1.2</v>
      </c>
      <c r="H582" t="n">
        <v>0</v>
      </c>
      <c r="I582" t="n">
        <v>0</v>
      </c>
      <c r="J582" t="n">
        <v>0</v>
      </c>
      <c r="K582" t="n">
        <v>0</v>
      </c>
      <c r="L582" t="n">
        <v>0</v>
      </c>
      <c r="M582" t="n">
        <v>0</v>
      </c>
      <c r="N582" t="n">
        <v>0</v>
      </c>
      <c r="O582" t="n">
        <v>0</v>
      </c>
      <c r="P582" t="n">
        <v>0</v>
      </c>
      <c r="Q582" t="n">
        <v>0</v>
      </c>
      <c r="R582" s="2" t="inlineStr"/>
    </row>
    <row r="583" ht="15" customHeight="1">
      <c r="A583" t="inlineStr">
        <is>
          <t>A 28506-2021</t>
        </is>
      </c>
      <c r="B583" s="1" t="n">
        <v>44356</v>
      </c>
      <c r="C583" s="1" t="n">
        <v>45983</v>
      </c>
      <c r="D583" t="inlineStr">
        <is>
          <t>HALLANDS LÄN</t>
        </is>
      </c>
      <c r="E583" t="inlineStr">
        <is>
          <t>HYLTE</t>
        </is>
      </c>
      <c r="G583" t="n">
        <v>1</v>
      </c>
      <c r="H583" t="n">
        <v>0</v>
      </c>
      <c r="I583" t="n">
        <v>0</v>
      </c>
      <c r="J583" t="n">
        <v>0</v>
      </c>
      <c r="K583" t="n">
        <v>0</v>
      </c>
      <c r="L583" t="n">
        <v>0</v>
      </c>
      <c r="M583" t="n">
        <v>0</v>
      </c>
      <c r="N583" t="n">
        <v>0</v>
      </c>
      <c r="O583" t="n">
        <v>0</v>
      </c>
      <c r="P583" t="n">
        <v>0</v>
      </c>
      <c r="Q583" t="n">
        <v>0</v>
      </c>
      <c r="R583" s="2" t="inlineStr"/>
    </row>
    <row r="584" ht="15" customHeight="1">
      <c r="A584" t="inlineStr">
        <is>
          <t>A 27075-2023</t>
        </is>
      </c>
      <c r="B584" s="1" t="n">
        <v>45096.35314814815</v>
      </c>
      <c r="C584" s="1" t="n">
        <v>45983</v>
      </c>
      <c r="D584" t="inlineStr">
        <is>
          <t>HALLANDS LÄN</t>
        </is>
      </c>
      <c r="E584" t="inlineStr">
        <is>
          <t>HYLTE</t>
        </is>
      </c>
      <c r="G584" t="n">
        <v>1.3</v>
      </c>
      <c r="H584" t="n">
        <v>0</v>
      </c>
      <c r="I584" t="n">
        <v>0</v>
      </c>
      <c r="J584" t="n">
        <v>0</v>
      </c>
      <c r="K584" t="n">
        <v>0</v>
      </c>
      <c r="L584" t="n">
        <v>0</v>
      </c>
      <c r="M584" t="n">
        <v>0</v>
      </c>
      <c r="N584" t="n">
        <v>0</v>
      </c>
      <c r="O584" t="n">
        <v>0</v>
      </c>
      <c r="P584" t="n">
        <v>0</v>
      </c>
      <c r="Q584" t="n">
        <v>0</v>
      </c>
      <c r="R584" s="2" t="inlineStr"/>
    </row>
    <row r="585" ht="15" customHeight="1">
      <c r="A585" t="inlineStr">
        <is>
          <t>A 58061-2022</t>
        </is>
      </c>
      <c r="B585" s="1" t="n">
        <v>44900.59535879629</v>
      </c>
      <c r="C585" s="1" t="n">
        <v>45983</v>
      </c>
      <c r="D585" t="inlineStr">
        <is>
          <t>HALLANDS LÄN</t>
        </is>
      </c>
      <c r="E585" t="inlineStr">
        <is>
          <t>HYLTE</t>
        </is>
      </c>
      <c r="F585" t="inlineStr">
        <is>
          <t>Bergvik skog väst AB</t>
        </is>
      </c>
      <c r="G585" t="n">
        <v>10.7</v>
      </c>
      <c r="H585" t="n">
        <v>0</v>
      </c>
      <c r="I585" t="n">
        <v>0</v>
      </c>
      <c r="J585" t="n">
        <v>0</v>
      </c>
      <c r="K585" t="n">
        <v>0</v>
      </c>
      <c r="L585" t="n">
        <v>0</v>
      </c>
      <c r="M585" t="n">
        <v>0</v>
      </c>
      <c r="N585" t="n">
        <v>0</v>
      </c>
      <c r="O585" t="n">
        <v>0</v>
      </c>
      <c r="P585" t="n">
        <v>0</v>
      </c>
      <c r="Q585" t="n">
        <v>0</v>
      </c>
      <c r="R585" s="2" t="inlineStr"/>
    </row>
    <row r="586" ht="15" customHeight="1">
      <c r="A586" t="inlineStr">
        <is>
          <t>A 28835-2023</t>
        </is>
      </c>
      <c r="B586" s="1" t="n">
        <v>45104.40809027778</v>
      </c>
      <c r="C586" s="1" t="n">
        <v>45983</v>
      </c>
      <c r="D586" t="inlineStr">
        <is>
          <t>HALLANDS LÄN</t>
        </is>
      </c>
      <c r="E586" t="inlineStr">
        <is>
          <t>HYLTE</t>
        </is>
      </c>
      <c r="G586" t="n">
        <v>2.8</v>
      </c>
      <c r="H586" t="n">
        <v>0</v>
      </c>
      <c r="I586" t="n">
        <v>0</v>
      </c>
      <c r="J586" t="n">
        <v>0</v>
      </c>
      <c r="K586" t="n">
        <v>0</v>
      </c>
      <c r="L586" t="n">
        <v>0</v>
      </c>
      <c r="M586" t="n">
        <v>0</v>
      </c>
      <c r="N586" t="n">
        <v>0</v>
      </c>
      <c r="O586" t="n">
        <v>0</v>
      </c>
      <c r="P586" t="n">
        <v>0</v>
      </c>
      <c r="Q586" t="n">
        <v>0</v>
      </c>
      <c r="R586" s="2" t="inlineStr"/>
    </row>
    <row r="587" ht="15" customHeight="1">
      <c r="A587" t="inlineStr">
        <is>
          <t>A 65457-2020</t>
        </is>
      </c>
      <c r="B587" s="1" t="n">
        <v>44173</v>
      </c>
      <c r="C587" s="1" t="n">
        <v>45983</v>
      </c>
      <c r="D587" t="inlineStr">
        <is>
          <t>HALLANDS LÄN</t>
        </is>
      </c>
      <c r="E587" t="inlineStr">
        <is>
          <t>HYLTE</t>
        </is>
      </c>
      <c r="G587" t="n">
        <v>2.2</v>
      </c>
      <c r="H587" t="n">
        <v>0</v>
      </c>
      <c r="I587" t="n">
        <v>0</v>
      </c>
      <c r="J587" t="n">
        <v>0</v>
      </c>
      <c r="K587" t="n">
        <v>0</v>
      </c>
      <c r="L587" t="n">
        <v>0</v>
      </c>
      <c r="M587" t="n">
        <v>0</v>
      </c>
      <c r="N587" t="n">
        <v>0</v>
      </c>
      <c r="O587" t="n">
        <v>0</v>
      </c>
      <c r="P587" t="n">
        <v>0</v>
      </c>
      <c r="Q587" t="n">
        <v>0</v>
      </c>
      <c r="R587" s="2" t="inlineStr"/>
    </row>
    <row r="588" ht="15" customHeight="1">
      <c r="A588" t="inlineStr">
        <is>
          <t>A 65874-2020</t>
        </is>
      </c>
      <c r="B588" s="1" t="n">
        <v>44174</v>
      </c>
      <c r="C588" s="1" t="n">
        <v>45983</v>
      </c>
      <c r="D588" t="inlineStr">
        <is>
          <t>HALLANDS LÄN</t>
        </is>
      </c>
      <c r="E588" t="inlineStr">
        <is>
          <t>HYLTE</t>
        </is>
      </c>
      <c r="G588" t="n">
        <v>1.5</v>
      </c>
      <c r="H588" t="n">
        <v>0</v>
      </c>
      <c r="I588" t="n">
        <v>0</v>
      </c>
      <c r="J588" t="n">
        <v>0</v>
      </c>
      <c r="K588" t="n">
        <v>0</v>
      </c>
      <c r="L588" t="n">
        <v>0</v>
      </c>
      <c r="M588" t="n">
        <v>0</v>
      </c>
      <c r="N588" t="n">
        <v>0</v>
      </c>
      <c r="O588" t="n">
        <v>0</v>
      </c>
      <c r="P588" t="n">
        <v>0</v>
      </c>
      <c r="Q588" t="n">
        <v>0</v>
      </c>
      <c r="R588" s="2" t="inlineStr"/>
    </row>
    <row r="589" ht="15" customHeight="1">
      <c r="A589" t="inlineStr">
        <is>
          <t>A 6779-2024</t>
        </is>
      </c>
      <c r="B589" s="1" t="n">
        <v>45342</v>
      </c>
      <c r="C589" s="1" t="n">
        <v>45983</v>
      </c>
      <c r="D589" t="inlineStr">
        <is>
          <t>HALLANDS LÄN</t>
        </is>
      </c>
      <c r="E589" t="inlineStr">
        <is>
          <t>HYLTE</t>
        </is>
      </c>
      <c r="F589" t="inlineStr">
        <is>
          <t>Bergvik skog väst AB</t>
        </is>
      </c>
      <c r="G589" t="n">
        <v>4.2</v>
      </c>
      <c r="H589" t="n">
        <v>0</v>
      </c>
      <c r="I589" t="n">
        <v>0</v>
      </c>
      <c r="J589" t="n">
        <v>0</v>
      </c>
      <c r="K589" t="n">
        <v>0</v>
      </c>
      <c r="L589" t="n">
        <v>0</v>
      </c>
      <c r="M589" t="n">
        <v>0</v>
      </c>
      <c r="N589" t="n">
        <v>0</v>
      </c>
      <c r="O589" t="n">
        <v>0</v>
      </c>
      <c r="P589" t="n">
        <v>0</v>
      </c>
      <c r="Q589" t="n">
        <v>0</v>
      </c>
      <c r="R589" s="2" t="inlineStr"/>
    </row>
    <row r="590" ht="15" customHeight="1">
      <c r="A590" t="inlineStr">
        <is>
          <t>A 66305-2020</t>
        </is>
      </c>
      <c r="B590" s="1" t="n">
        <v>44174</v>
      </c>
      <c r="C590" s="1" t="n">
        <v>45983</v>
      </c>
      <c r="D590" t="inlineStr">
        <is>
          <t>HALLANDS LÄN</t>
        </is>
      </c>
      <c r="E590" t="inlineStr">
        <is>
          <t>HYLTE</t>
        </is>
      </c>
      <c r="G590" t="n">
        <v>1.6</v>
      </c>
      <c r="H590" t="n">
        <v>0</v>
      </c>
      <c r="I590" t="n">
        <v>0</v>
      </c>
      <c r="J590" t="n">
        <v>0</v>
      </c>
      <c r="K590" t="n">
        <v>0</v>
      </c>
      <c r="L590" t="n">
        <v>0</v>
      </c>
      <c r="M590" t="n">
        <v>0</v>
      </c>
      <c r="N590" t="n">
        <v>0</v>
      </c>
      <c r="O590" t="n">
        <v>0</v>
      </c>
      <c r="P590" t="n">
        <v>0</v>
      </c>
      <c r="Q590" t="n">
        <v>0</v>
      </c>
      <c r="R590" s="2" t="inlineStr"/>
    </row>
    <row r="591" ht="15" customHeight="1">
      <c r="A591" t="inlineStr">
        <is>
          <t>A 21460-2024</t>
        </is>
      </c>
      <c r="B591" s="1" t="n">
        <v>45441.47077546296</v>
      </c>
      <c r="C591" s="1" t="n">
        <v>45983</v>
      </c>
      <c r="D591" t="inlineStr">
        <is>
          <t>HALLANDS LÄN</t>
        </is>
      </c>
      <c r="E591" t="inlineStr">
        <is>
          <t>HYLTE</t>
        </is>
      </c>
      <c r="G591" t="n">
        <v>1.4</v>
      </c>
      <c r="H591" t="n">
        <v>0</v>
      </c>
      <c r="I591" t="n">
        <v>0</v>
      </c>
      <c r="J591" t="n">
        <v>0</v>
      </c>
      <c r="K591" t="n">
        <v>0</v>
      </c>
      <c r="L591" t="n">
        <v>0</v>
      </c>
      <c r="M591" t="n">
        <v>0</v>
      </c>
      <c r="N591" t="n">
        <v>0</v>
      </c>
      <c r="O591" t="n">
        <v>0</v>
      </c>
      <c r="P591" t="n">
        <v>0</v>
      </c>
      <c r="Q591" t="n">
        <v>0</v>
      </c>
      <c r="R591" s="2" t="inlineStr"/>
    </row>
    <row r="592" ht="15" customHeight="1">
      <c r="A592" t="inlineStr">
        <is>
          <t>A 21462-2024</t>
        </is>
      </c>
      <c r="B592" s="1" t="n">
        <v>45441.47675925926</v>
      </c>
      <c r="C592" s="1" t="n">
        <v>45983</v>
      </c>
      <c r="D592" t="inlineStr">
        <is>
          <t>HALLANDS LÄN</t>
        </is>
      </c>
      <c r="E592" t="inlineStr">
        <is>
          <t>HYLTE</t>
        </is>
      </c>
      <c r="G592" t="n">
        <v>1.4</v>
      </c>
      <c r="H592" t="n">
        <v>0</v>
      </c>
      <c r="I592" t="n">
        <v>0</v>
      </c>
      <c r="J592" t="n">
        <v>0</v>
      </c>
      <c r="K592" t="n">
        <v>0</v>
      </c>
      <c r="L592" t="n">
        <v>0</v>
      </c>
      <c r="M592" t="n">
        <v>0</v>
      </c>
      <c r="N592" t="n">
        <v>0</v>
      </c>
      <c r="O592" t="n">
        <v>0</v>
      </c>
      <c r="P592" t="n">
        <v>0</v>
      </c>
      <c r="Q592" t="n">
        <v>0</v>
      </c>
      <c r="R592" s="2" t="inlineStr"/>
    </row>
    <row r="593" ht="15" customHeight="1">
      <c r="A593" t="inlineStr">
        <is>
          <t>A 53192-2023</t>
        </is>
      </c>
      <c r="B593" s="1" t="n">
        <v>45229</v>
      </c>
      <c r="C593" s="1" t="n">
        <v>45983</v>
      </c>
      <c r="D593" t="inlineStr">
        <is>
          <t>HALLANDS LÄN</t>
        </is>
      </c>
      <c r="E593" t="inlineStr">
        <is>
          <t>HYLTE</t>
        </is>
      </c>
      <c r="G593" t="n">
        <v>4</v>
      </c>
      <c r="H593" t="n">
        <v>0</v>
      </c>
      <c r="I593" t="n">
        <v>0</v>
      </c>
      <c r="J593" t="n">
        <v>0</v>
      </c>
      <c r="K593" t="n">
        <v>0</v>
      </c>
      <c r="L593" t="n">
        <v>0</v>
      </c>
      <c r="M593" t="n">
        <v>0</v>
      </c>
      <c r="N593" t="n">
        <v>0</v>
      </c>
      <c r="O593" t="n">
        <v>0</v>
      </c>
      <c r="P593" t="n">
        <v>0</v>
      </c>
      <c r="Q593" t="n">
        <v>0</v>
      </c>
      <c r="R593" s="2" t="inlineStr"/>
    </row>
    <row r="594" ht="15" customHeight="1">
      <c r="A594" t="inlineStr">
        <is>
          <t>A 30041-2023</t>
        </is>
      </c>
      <c r="B594" s="1" t="n">
        <v>45110.37274305556</v>
      </c>
      <c r="C594" s="1" t="n">
        <v>45983</v>
      </c>
      <c r="D594" t="inlineStr">
        <is>
          <t>HALLANDS LÄN</t>
        </is>
      </c>
      <c r="E594" t="inlineStr">
        <is>
          <t>HYLTE</t>
        </is>
      </c>
      <c r="G594" t="n">
        <v>2.6</v>
      </c>
      <c r="H594" t="n">
        <v>0</v>
      </c>
      <c r="I594" t="n">
        <v>0</v>
      </c>
      <c r="J594" t="n">
        <v>0</v>
      </c>
      <c r="K594" t="n">
        <v>0</v>
      </c>
      <c r="L594" t="n">
        <v>0</v>
      </c>
      <c r="M594" t="n">
        <v>0</v>
      </c>
      <c r="N594" t="n">
        <v>0</v>
      </c>
      <c r="O594" t="n">
        <v>0</v>
      </c>
      <c r="P594" t="n">
        <v>0</v>
      </c>
      <c r="Q594" t="n">
        <v>0</v>
      </c>
      <c r="R594" s="2" t="inlineStr"/>
    </row>
    <row r="595" ht="15" customHeight="1">
      <c r="A595" t="inlineStr">
        <is>
          <t>A 649-2024</t>
        </is>
      </c>
      <c r="B595" s="1" t="n">
        <v>45299</v>
      </c>
      <c r="C595" s="1" t="n">
        <v>45983</v>
      </c>
      <c r="D595" t="inlineStr">
        <is>
          <t>HALLANDS LÄN</t>
        </is>
      </c>
      <c r="E595" t="inlineStr">
        <is>
          <t>HYLTE</t>
        </is>
      </c>
      <c r="G595" t="n">
        <v>7.1</v>
      </c>
      <c r="H595" t="n">
        <v>0</v>
      </c>
      <c r="I595" t="n">
        <v>0</v>
      </c>
      <c r="J595" t="n">
        <v>0</v>
      </c>
      <c r="K595" t="n">
        <v>0</v>
      </c>
      <c r="L595" t="n">
        <v>0</v>
      </c>
      <c r="M595" t="n">
        <v>0</v>
      </c>
      <c r="N595" t="n">
        <v>0</v>
      </c>
      <c r="O595" t="n">
        <v>0</v>
      </c>
      <c r="P595" t="n">
        <v>0</v>
      </c>
      <c r="Q595" t="n">
        <v>0</v>
      </c>
      <c r="R595" s="2" t="inlineStr"/>
    </row>
    <row r="596" ht="15" customHeight="1">
      <c r="A596" t="inlineStr">
        <is>
          <t>A 40562-2023</t>
        </is>
      </c>
      <c r="B596" s="1" t="n">
        <v>45170.45903935185</v>
      </c>
      <c r="C596" s="1" t="n">
        <v>45983</v>
      </c>
      <c r="D596" t="inlineStr">
        <is>
          <t>HALLANDS LÄN</t>
        </is>
      </c>
      <c r="E596" t="inlineStr">
        <is>
          <t>HYLTE</t>
        </is>
      </c>
      <c r="G596" t="n">
        <v>0.6</v>
      </c>
      <c r="H596" t="n">
        <v>0</v>
      </c>
      <c r="I596" t="n">
        <v>0</v>
      </c>
      <c r="J596" t="n">
        <v>0</v>
      </c>
      <c r="K596" t="n">
        <v>0</v>
      </c>
      <c r="L596" t="n">
        <v>0</v>
      </c>
      <c r="M596" t="n">
        <v>0</v>
      </c>
      <c r="N596" t="n">
        <v>0</v>
      </c>
      <c r="O596" t="n">
        <v>0</v>
      </c>
      <c r="P596" t="n">
        <v>0</v>
      </c>
      <c r="Q596" t="n">
        <v>0</v>
      </c>
      <c r="R596" s="2" t="inlineStr"/>
    </row>
    <row r="597" ht="15" customHeight="1">
      <c r="A597" t="inlineStr">
        <is>
          <t>A 12004-2021</t>
        </is>
      </c>
      <c r="B597" s="1" t="n">
        <v>44266</v>
      </c>
      <c r="C597" s="1" t="n">
        <v>45983</v>
      </c>
      <c r="D597" t="inlineStr">
        <is>
          <t>HALLANDS LÄN</t>
        </is>
      </c>
      <c r="E597" t="inlineStr">
        <is>
          <t>HYLTE</t>
        </is>
      </c>
      <c r="F597" t="inlineStr">
        <is>
          <t>Bergvik skog väst AB</t>
        </is>
      </c>
      <c r="G597" t="n">
        <v>2</v>
      </c>
      <c r="H597" t="n">
        <v>0</v>
      </c>
      <c r="I597" t="n">
        <v>0</v>
      </c>
      <c r="J597" t="n">
        <v>0</v>
      </c>
      <c r="K597" t="n">
        <v>0</v>
      </c>
      <c r="L597" t="n">
        <v>0</v>
      </c>
      <c r="M597" t="n">
        <v>0</v>
      </c>
      <c r="N597" t="n">
        <v>0</v>
      </c>
      <c r="O597" t="n">
        <v>0</v>
      </c>
      <c r="P597" t="n">
        <v>0</v>
      </c>
      <c r="Q597" t="n">
        <v>0</v>
      </c>
      <c r="R597" s="2" t="inlineStr"/>
    </row>
    <row r="598" ht="15" customHeight="1">
      <c r="A598" t="inlineStr">
        <is>
          <t>A 2394-2024</t>
        </is>
      </c>
      <c r="B598" s="1" t="n">
        <v>45310.68920138889</v>
      </c>
      <c r="C598" s="1" t="n">
        <v>45983</v>
      </c>
      <c r="D598" t="inlineStr">
        <is>
          <t>HALLANDS LÄN</t>
        </is>
      </c>
      <c r="E598" t="inlineStr">
        <is>
          <t>HYLTE</t>
        </is>
      </c>
      <c r="G598" t="n">
        <v>0.5</v>
      </c>
      <c r="H598" t="n">
        <v>0</v>
      </c>
      <c r="I598" t="n">
        <v>0</v>
      </c>
      <c r="J598" t="n">
        <v>0</v>
      </c>
      <c r="K598" t="n">
        <v>0</v>
      </c>
      <c r="L598" t="n">
        <v>0</v>
      </c>
      <c r="M598" t="n">
        <v>0</v>
      </c>
      <c r="N598" t="n">
        <v>0</v>
      </c>
      <c r="O598" t="n">
        <v>0</v>
      </c>
      <c r="P598" t="n">
        <v>0</v>
      </c>
      <c r="Q598" t="n">
        <v>0</v>
      </c>
      <c r="R598" s="2" t="inlineStr"/>
    </row>
    <row r="599" ht="15" customHeight="1">
      <c r="A599" t="inlineStr">
        <is>
          <t>A 5800-2025</t>
        </is>
      </c>
      <c r="B599" s="1" t="n">
        <v>45694</v>
      </c>
      <c r="C599" s="1" t="n">
        <v>45983</v>
      </c>
      <c r="D599" t="inlineStr">
        <is>
          <t>HALLANDS LÄN</t>
        </is>
      </c>
      <c r="E599" t="inlineStr">
        <is>
          <t>HYLTE</t>
        </is>
      </c>
      <c r="G599" t="n">
        <v>1.9</v>
      </c>
      <c r="H599" t="n">
        <v>0</v>
      </c>
      <c r="I599" t="n">
        <v>0</v>
      </c>
      <c r="J599" t="n">
        <v>0</v>
      </c>
      <c r="K599" t="n">
        <v>0</v>
      </c>
      <c r="L599" t="n">
        <v>0</v>
      </c>
      <c r="M599" t="n">
        <v>0</v>
      </c>
      <c r="N599" t="n">
        <v>0</v>
      </c>
      <c r="O599" t="n">
        <v>0</v>
      </c>
      <c r="P599" t="n">
        <v>0</v>
      </c>
      <c r="Q599" t="n">
        <v>0</v>
      </c>
      <c r="R599" s="2" t="inlineStr"/>
    </row>
    <row r="600" ht="15" customHeight="1">
      <c r="A600" t="inlineStr">
        <is>
          <t>A 16125-2024</t>
        </is>
      </c>
      <c r="B600" s="1" t="n">
        <v>45406.53234953704</v>
      </c>
      <c r="C600" s="1" t="n">
        <v>45983</v>
      </c>
      <c r="D600" t="inlineStr">
        <is>
          <t>HALLANDS LÄN</t>
        </is>
      </c>
      <c r="E600" t="inlineStr">
        <is>
          <t>HYLTE</t>
        </is>
      </c>
      <c r="G600" t="n">
        <v>5.4</v>
      </c>
      <c r="H600" t="n">
        <v>0</v>
      </c>
      <c r="I600" t="n">
        <v>0</v>
      </c>
      <c r="J600" t="n">
        <v>0</v>
      </c>
      <c r="K600" t="n">
        <v>0</v>
      </c>
      <c r="L600" t="n">
        <v>0</v>
      </c>
      <c r="M600" t="n">
        <v>0</v>
      </c>
      <c r="N600" t="n">
        <v>0</v>
      </c>
      <c r="O600" t="n">
        <v>0</v>
      </c>
      <c r="P600" t="n">
        <v>0</v>
      </c>
      <c r="Q600" t="n">
        <v>0</v>
      </c>
      <c r="R600" s="2" t="inlineStr"/>
    </row>
    <row r="601" ht="15" customHeight="1">
      <c r="A601" t="inlineStr">
        <is>
          <t>A 10265-2024</t>
        </is>
      </c>
      <c r="B601" s="1" t="n">
        <v>45365.43888888889</v>
      </c>
      <c r="C601" s="1" t="n">
        <v>45983</v>
      </c>
      <c r="D601" t="inlineStr">
        <is>
          <t>HALLANDS LÄN</t>
        </is>
      </c>
      <c r="E601" t="inlineStr">
        <is>
          <t>HYLTE</t>
        </is>
      </c>
      <c r="G601" t="n">
        <v>0.9</v>
      </c>
      <c r="H601" t="n">
        <v>0</v>
      </c>
      <c r="I601" t="n">
        <v>0</v>
      </c>
      <c r="J601" t="n">
        <v>0</v>
      </c>
      <c r="K601" t="n">
        <v>0</v>
      </c>
      <c r="L601" t="n">
        <v>0</v>
      </c>
      <c r="M601" t="n">
        <v>0</v>
      </c>
      <c r="N601" t="n">
        <v>0</v>
      </c>
      <c r="O601" t="n">
        <v>0</v>
      </c>
      <c r="P601" t="n">
        <v>0</v>
      </c>
      <c r="Q601" t="n">
        <v>0</v>
      </c>
      <c r="R601" s="2" t="inlineStr"/>
    </row>
    <row r="602" ht="15" customHeight="1">
      <c r="A602" t="inlineStr">
        <is>
          <t>A 6909-2023</t>
        </is>
      </c>
      <c r="B602" s="1" t="n">
        <v>44967.52363425926</v>
      </c>
      <c r="C602" s="1" t="n">
        <v>45983</v>
      </c>
      <c r="D602" t="inlineStr">
        <is>
          <t>HALLANDS LÄN</t>
        </is>
      </c>
      <c r="E602" t="inlineStr">
        <is>
          <t>HYLTE</t>
        </is>
      </c>
      <c r="G602" t="n">
        <v>1.4</v>
      </c>
      <c r="H602" t="n">
        <v>0</v>
      </c>
      <c r="I602" t="n">
        <v>0</v>
      </c>
      <c r="J602" t="n">
        <v>0</v>
      </c>
      <c r="K602" t="n">
        <v>0</v>
      </c>
      <c r="L602" t="n">
        <v>0</v>
      </c>
      <c r="M602" t="n">
        <v>0</v>
      </c>
      <c r="N602" t="n">
        <v>0</v>
      </c>
      <c r="O602" t="n">
        <v>0</v>
      </c>
      <c r="P602" t="n">
        <v>0</v>
      </c>
      <c r="Q602" t="n">
        <v>0</v>
      </c>
      <c r="R602" s="2" t="inlineStr"/>
    </row>
    <row r="603" ht="15" customHeight="1">
      <c r="A603" t="inlineStr">
        <is>
          <t>A 32505-2023</t>
        </is>
      </c>
      <c r="B603" s="1" t="n">
        <v>45110</v>
      </c>
      <c r="C603" s="1" t="n">
        <v>45983</v>
      </c>
      <c r="D603" t="inlineStr">
        <is>
          <t>HALLANDS LÄN</t>
        </is>
      </c>
      <c r="E603" t="inlineStr">
        <is>
          <t>HYLTE</t>
        </is>
      </c>
      <c r="G603" t="n">
        <v>4.2</v>
      </c>
      <c r="H603" t="n">
        <v>0</v>
      </c>
      <c r="I603" t="n">
        <v>0</v>
      </c>
      <c r="J603" t="n">
        <v>0</v>
      </c>
      <c r="K603" t="n">
        <v>0</v>
      </c>
      <c r="L603" t="n">
        <v>0</v>
      </c>
      <c r="M603" t="n">
        <v>0</v>
      </c>
      <c r="N603" t="n">
        <v>0</v>
      </c>
      <c r="O603" t="n">
        <v>0</v>
      </c>
      <c r="P603" t="n">
        <v>0</v>
      </c>
      <c r="Q603" t="n">
        <v>0</v>
      </c>
      <c r="R603" s="2" t="inlineStr"/>
    </row>
    <row r="604" ht="15" customHeight="1">
      <c r="A604" t="inlineStr">
        <is>
          <t>A 35058-2023</t>
        </is>
      </c>
      <c r="B604" s="1" t="n">
        <v>45145</v>
      </c>
      <c r="C604" s="1" t="n">
        <v>45983</v>
      </c>
      <c r="D604" t="inlineStr">
        <is>
          <t>HALLANDS LÄN</t>
        </is>
      </c>
      <c r="E604" t="inlineStr">
        <is>
          <t>HYLTE</t>
        </is>
      </c>
      <c r="G604" t="n">
        <v>0.9</v>
      </c>
      <c r="H604" t="n">
        <v>0</v>
      </c>
      <c r="I604" t="n">
        <v>0</v>
      </c>
      <c r="J604" t="n">
        <v>0</v>
      </c>
      <c r="K604" t="n">
        <v>0</v>
      </c>
      <c r="L604" t="n">
        <v>0</v>
      </c>
      <c r="M604" t="n">
        <v>0</v>
      </c>
      <c r="N604" t="n">
        <v>0</v>
      </c>
      <c r="O604" t="n">
        <v>0</v>
      </c>
      <c r="P604" t="n">
        <v>0</v>
      </c>
      <c r="Q604" t="n">
        <v>0</v>
      </c>
      <c r="R604" s="2" t="inlineStr"/>
    </row>
    <row r="605" ht="15" customHeight="1">
      <c r="A605" t="inlineStr">
        <is>
          <t>A 63800-2020</t>
        </is>
      </c>
      <c r="B605" s="1" t="n">
        <v>44166</v>
      </c>
      <c r="C605" s="1" t="n">
        <v>45983</v>
      </c>
      <c r="D605" t="inlineStr">
        <is>
          <t>HALLANDS LÄN</t>
        </is>
      </c>
      <c r="E605" t="inlineStr">
        <is>
          <t>HYLTE</t>
        </is>
      </c>
      <c r="G605" t="n">
        <v>0.9</v>
      </c>
      <c r="H605" t="n">
        <v>0</v>
      </c>
      <c r="I605" t="n">
        <v>0</v>
      </c>
      <c r="J605" t="n">
        <v>0</v>
      </c>
      <c r="K605" t="n">
        <v>0</v>
      </c>
      <c r="L605" t="n">
        <v>0</v>
      </c>
      <c r="M605" t="n">
        <v>0</v>
      </c>
      <c r="N605" t="n">
        <v>0</v>
      </c>
      <c r="O605" t="n">
        <v>0</v>
      </c>
      <c r="P605" t="n">
        <v>0</v>
      </c>
      <c r="Q605" t="n">
        <v>0</v>
      </c>
      <c r="R605" s="2" t="inlineStr"/>
    </row>
    <row r="606" ht="15" customHeight="1">
      <c r="A606" t="inlineStr">
        <is>
          <t>A 31650-2023</t>
        </is>
      </c>
      <c r="B606" s="1" t="n">
        <v>45117</v>
      </c>
      <c r="C606" s="1" t="n">
        <v>45983</v>
      </c>
      <c r="D606" t="inlineStr">
        <is>
          <t>HALLANDS LÄN</t>
        </is>
      </c>
      <c r="E606" t="inlineStr">
        <is>
          <t>HYLTE</t>
        </is>
      </c>
      <c r="G606" t="n">
        <v>1.6</v>
      </c>
      <c r="H606" t="n">
        <v>0</v>
      </c>
      <c r="I606" t="n">
        <v>0</v>
      </c>
      <c r="J606" t="n">
        <v>0</v>
      </c>
      <c r="K606" t="n">
        <v>0</v>
      </c>
      <c r="L606" t="n">
        <v>0</v>
      </c>
      <c r="M606" t="n">
        <v>0</v>
      </c>
      <c r="N606" t="n">
        <v>0</v>
      </c>
      <c r="O606" t="n">
        <v>0</v>
      </c>
      <c r="P606" t="n">
        <v>0</v>
      </c>
      <c r="Q606" t="n">
        <v>0</v>
      </c>
      <c r="R606" s="2" t="inlineStr"/>
    </row>
    <row r="607" ht="15" customHeight="1">
      <c r="A607" t="inlineStr">
        <is>
          <t>A 8287-2024</t>
        </is>
      </c>
      <c r="B607" s="1" t="n">
        <v>45352.41668981482</v>
      </c>
      <c r="C607" s="1" t="n">
        <v>45983</v>
      </c>
      <c r="D607" t="inlineStr">
        <is>
          <t>HALLANDS LÄN</t>
        </is>
      </c>
      <c r="E607" t="inlineStr">
        <is>
          <t>HYLTE</t>
        </is>
      </c>
      <c r="G607" t="n">
        <v>0.5</v>
      </c>
      <c r="H607" t="n">
        <v>0</v>
      </c>
      <c r="I607" t="n">
        <v>0</v>
      </c>
      <c r="J607" t="n">
        <v>0</v>
      </c>
      <c r="K607" t="n">
        <v>0</v>
      </c>
      <c r="L607" t="n">
        <v>0</v>
      </c>
      <c r="M607" t="n">
        <v>0</v>
      </c>
      <c r="N607" t="n">
        <v>0</v>
      </c>
      <c r="O607" t="n">
        <v>0</v>
      </c>
      <c r="P607" t="n">
        <v>0</v>
      </c>
      <c r="Q607" t="n">
        <v>0</v>
      </c>
      <c r="R607" s="2" t="inlineStr"/>
    </row>
    <row r="608" ht="15" customHeight="1">
      <c r="A608" t="inlineStr">
        <is>
          <t>A 15883-2024</t>
        </is>
      </c>
      <c r="B608" s="1" t="n">
        <v>45405.35324074074</v>
      </c>
      <c r="C608" s="1" t="n">
        <v>45983</v>
      </c>
      <c r="D608" t="inlineStr">
        <is>
          <t>HALLANDS LÄN</t>
        </is>
      </c>
      <c r="E608" t="inlineStr">
        <is>
          <t>HYLTE</t>
        </is>
      </c>
      <c r="G608" t="n">
        <v>2.9</v>
      </c>
      <c r="H608" t="n">
        <v>0</v>
      </c>
      <c r="I608" t="n">
        <v>0</v>
      </c>
      <c r="J608" t="n">
        <v>0</v>
      </c>
      <c r="K608" t="n">
        <v>0</v>
      </c>
      <c r="L608" t="n">
        <v>0</v>
      </c>
      <c r="M608" t="n">
        <v>0</v>
      </c>
      <c r="N608" t="n">
        <v>0</v>
      </c>
      <c r="O608" t="n">
        <v>0</v>
      </c>
      <c r="P608" t="n">
        <v>0</v>
      </c>
      <c r="Q608" t="n">
        <v>0</v>
      </c>
      <c r="R608" s="2" t="inlineStr"/>
    </row>
    <row r="609" ht="15" customHeight="1">
      <c r="A609" t="inlineStr">
        <is>
          <t>A 68969-2021</t>
        </is>
      </c>
      <c r="B609" s="1" t="n">
        <v>44530</v>
      </c>
      <c r="C609" s="1" t="n">
        <v>45983</v>
      </c>
      <c r="D609" t="inlineStr">
        <is>
          <t>HALLANDS LÄN</t>
        </is>
      </c>
      <c r="E609" t="inlineStr">
        <is>
          <t>HYLTE</t>
        </is>
      </c>
      <c r="G609" t="n">
        <v>5.2</v>
      </c>
      <c r="H609" t="n">
        <v>0</v>
      </c>
      <c r="I609" t="n">
        <v>0</v>
      </c>
      <c r="J609" t="n">
        <v>0</v>
      </c>
      <c r="K609" t="n">
        <v>0</v>
      </c>
      <c r="L609" t="n">
        <v>0</v>
      </c>
      <c r="M609" t="n">
        <v>0</v>
      </c>
      <c r="N609" t="n">
        <v>0</v>
      </c>
      <c r="O609" t="n">
        <v>0</v>
      </c>
      <c r="P609" t="n">
        <v>0</v>
      </c>
      <c r="Q609" t="n">
        <v>0</v>
      </c>
      <c r="R609" s="2" t="inlineStr"/>
    </row>
    <row r="610" ht="15" customHeight="1">
      <c r="A610" t="inlineStr">
        <is>
          <t>A 28845-2023</t>
        </is>
      </c>
      <c r="B610" s="1" t="n">
        <v>45104.42195601852</v>
      </c>
      <c r="C610" s="1" t="n">
        <v>45983</v>
      </c>
      <c r="D610" t="inlineStr">
        <is>
          <t>HALLANDS LÄN</t>
        </is>
      </c>
      <c r="E610" t="inlineStr">
        <is>
          <t>HYLTE</t>
        </is>
      </c>
      <c r="G610" t="n">
        <v>1</v>
      </c>
      <c r="H610" t="n">
        <v>0</v>
      </c>
      <c r="I610" t="n">
        <v>0</v>
      </c>
      <c r="J610" t="n">
        <v>0</v>
      </c>
      <c r="K610" t="n">
        <v>0</v>
      </c>
      <c r="L610" t="n">
        <v>0</v>
      </c>
      <c r="M610" t="n">
        <v>0</v>
      </c>
      <c r="N610" t="n">
        <v>0</v>
      </c>
      <c r="O610" t="n">
        <v>0</v>
      </c>
      <c r="P610" t="n">
        <v>0</v>
      </c>
      <c r="Q610" t="n">
        <v>0</v>
      </c>
      <c r="R610" s="2" t="inlineStr"/>
    </row>
    <row r="611" ht="15" customHeight="1">
      <c r="A611" t="inlineStr">
        <is>
          <t>A 23738-2024</t>
        </is>
      </c>
      <c r="B611" s="1" t="n">
        <v>45454</v>
      </c>
      <c r="C611" s="1" t="n">
        <v>45983</v>
      </c>
      <c r="D611" t="inlineStr">
        <is>
          <t>HALLANDS LÄN</t>
        </is>
      </c>
      <c r="E611" t="inlineStr">
        <is>
          <t>HYLTE</t>
        </is>
      </c>
      <c r="G611" t="n">
        <v>7</v>
      </c>
      <c r="H611" t="n">
        <v>0</v>
      </c>
      <c r="I611" t="n">
        <v>0</v>
      </c>
      <c r="J611" t="n">
        <v>0</v>
      </c>
      <c r="K611" t="n">
        <v>0</v>
      </c>
      <c r="L611" t="n">
        <v>0</v>
      </c>
      <c r="M611" t="n">
        <v>0</v>
      </c>
      <c r="N611" t="n">
        <v>0</v>
      </c>
      <c r="O611" t="n">
        <v>0</v>
      </c>
      <c r="P611" t="n">
        <v>0</v>
      </c>
      <c r="Q611" t="n">
        <v>0</v>
      </c>
      <c r="R611" s="2" t="inlineStr"/>
    </row>
    <row r="612" ht="15" customHeight="1">
      <c r="A612" t="inlineStr">
        <is>
          <t>A 6610-2022</t>
        </is>
      </c>
      <c r="B612" s="1" t="n">
        <v>44601.69193287037</v>
      </c>
      <c r="C612" s="1" t="n">
        <v>45983</v>
      </c>
      <c r="D612" t="inlineStr">
        <is>
          <t>HALLANDS LÄN</t>
        </is>
      </c>
      <c r="E612" t="inlineStr">
        <is>
          <t>HYLTE</t>
        </is>
      </c>
      <c r="G612" t="n">
        <v>6.9</v>
      </c>
      <c r="H612" t="n">
        <v>0</v>
      </c>
      <c r="I612" t="n">
        <v>0</v>
      </c>
      <c r="J612" t="n">
        <v>0</v>
      </c>
      <c r="K612" t="n">
        <v>0</v>
      </c>
      <c r="L612" t="n">
        <v>0</v>
      </c>
      <c r="M612" t="n">
        <v>0</v>
      </c>
      <c r="N612" t="n">
        <v>0</v>
      </c>
      <c r="O612" t="n">
        <v>0</v>
      </c>
      <c r="P612" t="n">
        <v>0</v>
      </c>
      <c r="Q612" t="n">
        <v>0</v>
      </c>
      <c r="R612" s="2" t="inlineStr"/>
    </row>
    <row r="613" ht="15" customHeight="1">
      <c r="A613" t="inlineStr">
        <is>
          <t>A 64221-2021</t>
        </is>
      </c>
      <c r="B613" s="1" t="n">
        <v>44510</v>
      </c>
      <c r="C613" s="1" t="n">
        <v>45983</v>
      </c>
      <c r="D613" t="inlineStr">
        <is>
          <t>HALLANDS LÄN</t>
        </is>
      </c>
      <c r="E613" t="inlineStr">
        <is>
          <t>HYLTE</t>
        </is>
      </c>
      <c r="G613" t="n">
        <v>2.7</v>
      </c>
      <c r="H613" t="n">
        <v>0</v>
      </c>
      <c r="I613" t="n">
        <v>0</v>
      </c>
      <c r="J613" t="n">
        <v>0</v>
      </c>
      <c r="K613" t="n">
        <v>0</v>
      </c>
      <c r="L613" t="n">
        <v>0</v>
      </c>
      <c r="M613" t="n">
        <v>0</v>
      </c>
      <c r="N613" t="n">
        <v>0</v>
      </c>
      <c r="O613" t="n">
        <v>0</v>
      </c>
      <c r="P613" t="n">
        <v>0</v>
      </c>
      <c r="Q613" t="n">
        <v>0</v>
      </c>
      <c r="R613" s="2" t="inlineStr"/>
    </row>
    <row r="614" ht="15" customHeight="1">
      <c r="A614" t="inlineStr">
        <is>
          <t>A 42815-2023</t>
        </is>
      </c>
      <c r="B614" s="1" t="n">
        <v>45182.34853009259</v>
      </c>
      <c r="C614" s="1" t="n">
        <v>45983</v>
      </c>
      <c r="D614" t="inlineStr">
        <is>
          <t>HALLANDS LÄN</t>
        </is>
      </c>
      <c r="E614" t="inlineStr">
        <is>
          <t>HYLTE</t>
        </is>
      </c>
      <c r="G614" t="n">
        <v>1.8</v>
      </c>
      <c r="H614" t="n">
        <v>0</v>
      </c>
      <c r="I614" t="n">
        <v>0</v>
      </c>
      <c r="J614" t="n">
        <v>0</v>
      </c>
      <c r="K614" t="n">
        <v>0</v>
      </c>
      <c r="L614" t="n">
        <v>0</v>
      </c>
      <c r="M614" t="n">
        <v>0</v>
      </c>
      <c r="N614" t="n">
        <v>0</v>
      </c>
      <c r="O614" t="n">
        <v>0</v>
      </c>
      <c r="P614" t="n">
        <v>0</v>
      </c>
      <c r="Q614" t="n">
        <v>0</v>
      </c>
      <c r="R614" s="2" t="inlineStr"/>
    </row>
    <row r="615" ht="15" customHeight="1">
      <c r="A615" t="inlineStr">
        <is>
          <t>A 37163-2024</t>
        </is>
      </c>
      <c r="B615" s="1" t="n">
        <v>45539</v>
      </c>
      <c r="C615" s="1" t="n">
        <v>45983</v>
      </c>
      <c r="D615" t="inlineStr">
        <is>
          <t>HALLANDS LÄN</t>
        </is>
      </c>
      <c r="E615" t="inlineStr">
        <is>
          <t>HYLTE</t>
        </is>
      </c>
      <c r="G615" t="n">
        <v>0.6</v>
      </c>
      <c r="H615" t="n">
        <v>0</v>
      </c>
      <c r="I615" t="n">
        <v>0</v>
      </c>
      <c r="J615" t="n">
        <v>0</v>
      </c>
      <c r="K615" t="n">
        <v>0</v>
      </c>
      <c r="L615" t="n">
        <v>0</v>
      </c>
      <c r="M615" t="n">
        <v>0</v>
      </c>
      <c r="N615" t="n">
        <v>0</v>
      </c>
      <c r="O615" t="n">
        <v>0</v>
      </c>
      <c r="P615" t="n">
        <v>0</v>
      </c>
      <c r="Q615" t="n">
        <v>0</v>
      </c>
      <c r="R615" s="2" t="inlineStr"/>
    </row>
    <row r="616" ht="15" customHeight="1">
      <c r="A616" t="inlineStr">
        <is>
          <t>A 59158-2023</t>
        </is>
      </c>
      <c r="B616" s="1" t="n">
        <v>45253.38835648148</v>
      </c>
      <c r="C616" s="1" t="n">
        <v>45983</v>
      </c>
      <c r="D616" t="inlineStr">
        <is>
          <t>HALLANDS LÄN</t>
        </is>
      </c>
      <c r="E616" t="inlineStr">
        <is>
          <t>HYLTE</t>
        </is>
      </c>
      <c r="G616" t="n">
        <v>1.3</v>
      </c>
      <c r="H616" t="n">
        <v>0</v>
      </c>
      <c r="I616" t="n">
        <v>0</v>
      </c>
      <c r="J616" t="n">
        <v>0</v>
      </c>
      <c r="K616" t="n">
        <v>0</v>
      </c>
      <c r="L616" t="n">
        <v>0</v>
      </c>
      <c r="M616" t="n">
        <v>0</v>
      </c>
      <c r="N616" t="n">
        <v>0</v>
      </c>
      <c r="O616" t="n">
        <v>0</v>
      </c>
      <c r="P616" t="n">
        <v>0</v>
      </c>
      <c r="Q616" t="n">
        <v>0</v>
      </c>
      <c r="R616" s="2" t="inlineStr"/>
    </row>
    <row r="617" ht="15" customHeight="1">
      <c r="A617" t="inlineStr">
        <is>
          <t>A 18390-2024</t>
        </is>
      </c>
      <c r="B617" s="1" t="n">
        <v>45424</v>
      </c>
      <c r="C617" s="1" t="n">
        <v>45983</v>
      </c>
      <c r="D617" t="inlineStr">
        <is>
          <t>HALLANDS LÄN</t>
        </is>
      </c>
      <c r="E617" t="inlineStr">
        <is>
          <t>HYLTE</t>
        </is>
      </c>
      <c r="G617" t="n">
        <v>0.7</v>
      </c>
      <c r="H617" t="n">
        <v>0</v>
      </c>
      <c r="I617" t="n">
        <v>0</v>
      </c>
      <c r="J617" t="n">
        <v>0</v>
      </c>
      <c r="K617" t="n">
        <v>0</v>
      </c>
      <c r="L617" t="n">
        <v>0</v>
      </c>
      <c r="M617" t="n">
        <v>0</v>
      </c>
      <c r="N617" t="n">
        <v>0</v>
      </c>
      <c r="O617" t="n">
        <v>0</v>
      </c>
      <c r="P617" t="n">
        <v>0</v>
      </c>
      <c r="Q617" t="n">
        <v>0</v>
      </c>
      <c r="R617" s="2" t="inlineStr"/>
    </row>
    <row r="618" ht="15" customHeight="1">
      <c r="A618" t="inlineStr">
        <is>
          <t>A 35589-2024</t>
        </is>
      </c>
      <c r="B618" s="1" t="n">
        <v>45531</v>
      </c>
      <c r="C618" s="1" t="n">
        <v>45983</v>
      </c>
      <c r="D618" t="inlineStr">
        <is>
          <t>HALLANDS LÄN</t>
        </is>
      </c>
      <c r="E618" t="inlineStr">
        <is>
          <t>HYLTE</t>
        </is>
      </c>
      <c r="G618" t="n">
        <v>0.7</v>
      </c>
      <c r="H618" t="n">
        <v>0</v>
      </c>
      <c r="I618" t="n">
        <v>0</v>
      </c>
      <c r="J618" t="n">
        <v>0</v>
      </c>
      <c r="K618" t="n">
        <v>0</v>
      </c>
      <c r="L618" t="n">
        <v>0</v>
      </c>
      <c r="M618" t="n">
        <v>0</v>
      </c>
      <c r="N618" t="n">
        <v>0</v>
      </c>
      <c r="O618" t="n">
        <v>0</v>
      </c>
      <c r="P618" t="n">
        <v>0</v>
      </c>
      <c r="Q618" t="n">
        <v>0</v>
      </c>
      <c r="R618" s="2" t="inlineStr"/>
    </row>
    <row r="619" ht="15" customHeight="1">
      <c r="A619" t="inlineStr">
        <is>
          <t>A 9639-2025</t>
        </is>
      </c>
      <c r="B619" s="1" t="n">
        <v>45715.78807870371</v>
      </c>
      <c r="C619" s="1" t="n">
        <v>45983</v>
      </c>
      <c r="D619" t="inlineStr">
        <is>
          <t>HALLANDS LÄN</t>
        </is>
      </c>
      <c r="E619" t="inlineStr">
        <is>
          <t>HYLTE</t>
        </is>
      </c>
      <c r="G619" t="n">
        <v>0.5</v>
      </c>
      <c r="H619" t="n">
        <v>0</v>
      </c>
      <c r="I619" t="n">
        <v>0</v>
      </c>
      <c r="J619" t="n">
        <v>0</v>
      </c>
      <c r="K619" t="n">
        <v>0</v>
      </c>
      <c r="L619" t="n">
        <v>0</v>
      </c>
      <c r="M619" t="n">
        <v>0</v>
      </c>
      <c r="N619" t="n">
        <v>0</v>
      </c>
      <c r="O619" t="n">
        <v>0</v>
      </c>
      <c r="P619" t="n">
        <v>0</v>
      </c>
      <c r="Q619" t="n">
        <v>0</v>
      </c>
      <c r="R619" s="2" t="inlineStr"/>
    </row>
    <row r="620" ht="15" customHeight="1">
      <c r="A620" t="inlineStr">
        <is>
          <t>A 42868-2023</t>
        </is>
      </c>
      <c r="B620" s="1" t="n">
        <v>45182.43619212963</v>
      </c>
      <c r="C620" s="1" t="n">
        <v>45983</v>
      </c>
      <c r="D620" t="inlineStr">
        <is>
          <t>HALLANDS LÄN</t>
        </is>
      </c>
      <c r="E620" t="inlineStr">
        <is>
          <t>HYLTE</t>
        </is>
      </c>
      <c r="G620" t="n">
        <v>0.8</v>
      </c>
      <c r="H620" t="n">
        <v>0</v>
      </c>
      <c r="I620" t="n">
        <v>0</v>
      </c>
      <c r="J620" t="n">
        <v>0</v>
      </c>
      <c r="K620" t="n">
        <v>0</v>
      </c>
      <c r="L620" t="n">
        <v>0</v>
      </c>
      <c r="M620" t="n">
        <v>0</v>
      </c>
      <c r="N620" t="n">
        <v>0</v>
      </c>
      <c r="O620" t="n">
        <v>0</v>
      </c>
      <c r="P620" t="n">
        <v>0</v>
      </c>
      <c r="Q620" t="n">
        <v>0</v>
      </c>
      <c r="R620" s="2" t="inlineStr"/>
    </row>
    <row r="621" ht="15" customHeight="1">
      <c r="A621" t="inlineStr">
        <is>
          <t>A 17262-2024</t>
        </is>
      </c>
      <c r="B621" s="1" t="n">
        <v>45414.42009259259</v>
      </c>
      <c r="C621" s="1" t="n">
        <v>45983</v>
      </c>
      <c r="D621" t="inlineStr">
        <is>
          <t>HALLANDS LÄN</t>
        </is>
      </c>
      <c r="E621" t="inlineStr">
        <is>
          <t>HYLTE</t>
        </is>
      </c>
      <c r="G621" t="n">
        <v>1.5</v>
      </c>
      <c r="H621" t="n">
        <v>0</v>
      </c>
      <c r="I621" t="n">
        <v>0</v>
      </c>
      <c r="J621" t="n">
        <v>0</v>
      </c>
      <c r="K621" t="n">
        <v>0</v>
      </c>
      <c r="L621" t="n">
        <v>0</v>
      </c>
      <c r="M621" t="n">
        <v>0</v>
      </c>
      <c r="N621" t="n">
        <v>0</v>
      </c>
      <c r="O621" t="n">
        <v>0</v>
      </c>
      <c r="P621" t="n">
        <v>0</v>
      </c>
      <c r="Q621" t="n">
        <v>0</v>
      </c>
      <c r="R621" s="2" t="inlineStr"/>
    </row>
    <row r="622" ht="15" customHeight="1">
      <c r="A622" t="inlineStr">
        <is>
          <t>A 63654-2020</t>
        </is>
      </c>
      <c r="B622" s="1" t="n">
        <v>44162</v>
      </c>
      <c r="C622" s="1" t="n">
        <v>45983</v>
      </c>
      <c r="D622" t="inlineStr">
        <is>
          <t>HALLANDS LÄN</t>
        </is>
      </c>
      <c r="E622" t="inlineStr">
        <is>
          <t>HYLTE</t>
        </is>
      </c>
      <c r="G622" t="n">
        <v>4</v>
      </c>
      <c r="H622" t="n">
        <v>0</v>
      </c>
      <c r="I622" t="n">
        <v>0</v>
      </c>
      <c r="J622" t="n">
        <v>0</v>
      </c>
      <c r="K622" t="n">
        <v>0</v>
      </c>
      <c r="L622" t="n">
        <v>0</v>
      </c>
      <c r="M622" t="n">
        <v>0</v>
      </c>
      <c r="N622" t="n">
        <v>0</v>
      </c>
      <c r="O622" t="n">
        <v>0</v>
      </c>
      <c r="P622" t="n">
        <v>0</v>
      </c>
      <c r="Q622" t="n">
        <v>0</v>
      </c>
      <c r="R622" s="2" t="inlineStr"/>
    </row>
    <row r="623" ht="15" customHeight="1">
      <c r="A623" t="inlineStr">
        <is>
          <t>A 48474-2024</t>
        </is>
      </c>
      <c r="B623" s="1" t="n">
        <v>45591.52217592593</v>
      </c>
      <c r="C623" s="1" t="n">
        <v>45983</v>
      </c>
      <c r="D623" t="inlineStr">
        <is>
          <t>HALLANDS LÄN</t>
        </is>
      </c>
      <c r="E623" t="inlineStr">
        <is>
          <t>HYLTE</t>
        </is>
      </c>
      <c r="G623" t="n">
        <v>3.4</v>
      </c>
      <c r="H623" t="n">
        <v>0</v>
      </c>
      <c r="I623" t="n">
        <v>0</v>
      </c>
      <c r="J623" t="n">
        <v>0</v>
      </c>
      <c r="K623" t="n">
        <v>0</v>
      </c>
      <c r="L623" t="n">
        <v>0</v>
      </c>
      <c r="M623" t="n">
        <v>0</v>
      </c>
      <c r="N623" t="n">
        <v>0</v>
      </c>
      <c r="O623" t="n">
        <v>0</v>
      </c>
      <c r="P623" t="n">
        <v>0</v>
      </c>
      <c r="Q623" t="n">
        <v>0</v>
      </c>
      <c r="R623" s="2" t="inlineStr"/>
    </row>
    <row r="624" ht="15" customHeight="1">
      <c r="A624" t="inlineStr">
        <is>
          <t>A 61303-2024</t>
        </is>
      </c>
      <c r="B624" s="1" t="n">
        <v>45645.94511574074</v>
      </c>
      <c r="C624" s="1" t="n">
        <v>45983</v>
      </c>
      <c r="D624" t="inlineStr">
        <is>
          <t>HALLANDS LÄN</t>
        </is>
      </c>
      <c r="E624" t="inlineStr">
        <is>
          <t>HYLTE</t>
        </is>
      </c>
      <c r="F624" t="inlineStr">
        <is>
          <t>Kyrkan</t>
        </is>
      </c>
      <c r="G624" t="n">
        <v>1.5</v>
      </c>
      <c r="H624" t="n">
        <v>0</v>
      </c>
      <c r="I624" t="n">
        <v>0</v>
      </c>
      <c r="J624" t="n">
        <v>0</v>
      </c>
      <c r="K624" t="n">
        <v>0</v>
      </c>
      <c r="L624" t="n">
        <v>0</v>
      </c>
      <c r="M624" t="n">
        <v>0</v>
      </c>
      <c r="N624" t="n">
        <v>0</v>
      </c>
      <c r="O624" t="n">
        <v>0</v>
      </c>
      <c r="P624" t="n">
        <v>0</v>
      </c>
      <c r="Q624" t="n">
        <v>0</v>
      </c>
      <c r="R624" s="2" t="inlineStr"/>
    </row>
    <row r="625" ht="15" customHeight="1">
      <c r="A625" t="inlineStr">
        <is>
          <t>A 60452-2024</t>
        </is>
      </c>
      <c r="B625" s="1" t="n">
        <v>45643.60391203704</v>
      </c>
      <c r="C625" s="1" t="n">
        <v>45983</v>
      </c>
      <c r="D625" t="inlineStr">
        <is>
          <t>HALLANDS LÄN</t>
        </is>
      </c>
      <c r="E625" t="inlineStr">
        <is>
          <t>HYLTE</t>
        </is>
      </c>
      <c r="G625" t="n">
        <v>4.6</v>
      </c>
      <c r="H625" t="n">
        <v>0</v>
      </c>
      <c r="I625" t="n">
        <v>0</v>
      </c>
      <c r="J625" t="n">
        <v>0</v>
      </c>
      <c r="K625" t="n">
        <v>0</v>
      </c>
      <c r="L625" t="n">
        <v>0</v>
      </c>
      <c r="M625" t="n">
        <v>0</v>
      </c>
      <c r="N625" t="n">
        <v>0</v>
      </c>
      <c r="O625" t="n">
        <v>0</v>
      </c>
      <c r="P625" t="n">
        <v>0</v>
      </c>
      <c r="Q625" t="n">
        <v>0</v>
      </c>
      <c r="R625" s="2" t="inlineStr"/>
    </row>
    <row r="626" ht="15" customHeight="1">
      <c r="A626" t="inlineStr">
        <is>
          <t>A 31265-2023</t>
        </is>
      </c>
      <c r="B626" s="1" t="n">
        <v>45114</v>
      </c>
      <c r="C626" s="1" t="n">
        <v>45983</v>
      </c>
      <c r="D626" t="inlineStr">
        <is>
          <t>HALLANDS LÄN</t>
        </is>
      </c>
      <c r="E626" t="inlineStr">
        <is>
          <t>HYLTE</t>
        </is>
      </c>
      <c r="G626" t="n">
        <v>0.3</v>
      </c>
      <c r="H626" t="n">
        <v>0</v>
      </c>
      <c r="I626" t="n">
        <v>0</v>
      </c>
      <c r="J626" t="n">
        <v>0</v>
      </c>
      <c r="K626" t="n">
        <v>0</v>
      </c>
      <c r="L626" t="n">
        <v>0</v>
      </c>
      <c r="M626" t="n">
        <v>0</v>
      </c>
      <c r="N626" t="n">
        <v>0</v>
      </c>
      <c r="O626" t="n">
        <v>0</v>
      </c>
      <c r="P626" t="n">
        <v>0</v>
      </c>
      <c r="Q626" t="n">
        <v>0</v>
      </c>
      <c r="R626" s="2" t="inlineStr"/>
    </row>
    <row r="627" ht="15" customHeight="1">
      <c r="A627" t="inlineStr">
        <is>
          <t>A 7226-2023</t>
        </is>
      </c>
      <c r="B627" s="1" t="n">
        <v>44970.59310185185</v>
      </c>
      <c r="C627" s="1" t="n">
        <v>45983</v>
      </c>
      <c r="D627" t="inlineStr">
        <is>
          <t>HALLANDS LÄN</t>
        </is>
      </c>
      <c r="E627" t="inlineStr">
        <is>
          <t>HYLTE</t>
        </is>
      </c>
      <c r="G627" t="n">
        <v>1.8</v>
      </c>
      <c r="H627" t="n">
        <v>0</v>
      </c>
      <c r="I627" t="n">
        <v>0</v>
      </c>
      <c r="J627" t="n">
        <v>0</v>
      </c>
      <c r="K627" t="n">
        <v>0</v>
      </c>
      <c r="L627" t="n">
        <v>0</v>
      </c>
      <c r="M627" t="n">
        <v>0</v>
      </c>
      <c r="N627" t="n">
        <v>0</v>
      </c>
      <c r="O627" t="n">
        <v>0</v>
      </c>
      <c r="P627" t="n">
        <v>0</v>
      </c>
      <c r="Q627" t="n">
        <v>0</v>
      </c>
      <c r="R627" s="2" t="inlineStr"/>
    </row>
    <row r="628" ht="15" customHeight="1">
      <c r="A628" t="inlineStr">
        <is>
          <t>A 36976-2024</t>
        </is>
      </c>
      <c r="B628" s="1" t="n">
        <v>45538.93474537037</v>
      </c>
      <c r="C628" s="1" t="n">
        <v>45983</v>
      </c>
      <c r="D628" t="inlineStr">
        <is>
          <t>HALLANDS LÄN</t>
        </is>
      </c>
      <c r="E628" t="inlineStr">
        <is>
          <t>HYLTE</t>
        </is>
      </c>
      <c r="G628" t="n">
        <v>1.1</v>
      </c>
      <c r="H628" t="n">
        <v>0</v>
      </c>
      <c r="I628" t="n">
        <v>0</v>
      </c>
      <c r="J628" t="n">
        <v>0</v>
      </c>
      <c r="K628" t="n">
        <v>0</v>
      </c>
      <c r="L628" t="n">
        <v>0</v>
      </c>
      <c r="M628" t="n">
        <v>0</v>
      </c>
      <c r="N628" t="n">
        <v>0</v>
      </c>
      <c r="O628" t="n">
        <v>0</v>
      </c>
      <c r="P628" t="n">
        <v>0</v>
      </c>
      <c r="Q628" t="n">
        <v>0</v>
      </c>
      <c r="R628" s="2" t="inlineStr"/>
    </row>
    <row r="629" ht="15" customHeight="1">
      <c r="A629" t="inlineStr">
        <is>
          <t>A 39718-2023</t>
        </is>
      </c>
      <c r="B629" s="1" t="n">
        <v>45167.62931712963</v>
      </c>
      <c r="C629" s="1" t="n">
        <v>45983</v>
      </c>
      <c r="D629" t="inlineStr">
        <is>
          <t>HALLANDS LÄN</t>
        </is>
      </c>
      <c r="E629" t="inlineStr">
        <is>
          <t>HYLTE</t>
        </is>
      </c>
      <c r="G629" t="n">
        <v>2.8</v>
      </c>
      <c r="H629" t="n">
        <v>0</v>
      </c>
      <c r="I629" t="n">
        <v>0</v>
      </c>
      <c r="J629" t="n">
        <v>0</v>
      </c>
      <c r="K629" t="n">
        <v>0</v>
      </c>
      <c r="L629" t="n">
        <v>0</v>
      </c>
      <c r="M629" t="n">
        <v>0</v>
      </c>
      <c r="N629" t="n">
        <v>0</v>
      </c>
      <c r="O629" t="n">
        <v>0</v>
      </c>
      <c r="P629" t="n">
        <v>0</v>
      </c>
      <c r="Q629" t="n">
        <v>0</v>
      </c>
      <c r="R629" s="2" t="inlineStr"/>
    </row>
    <row r="630" ht="15" customHeight="1">
      <c r="A630" t="inlineStr">
        <is>
          <t>A 40544-2023</t>
        </is>
      </c>
      <c r="B630" s="1" t="n">
        <v>45170.44670138889</v>
      </c>
      <c r="C630" s="1" t="n">
        <v>45983</v>
      </c>
      <c r="D630" t="inlineStr">
        <is>
          <t>HALLANDS LÄN</t>
        </is>
      </c>
      <c r="E630" t="inlineStr">
        <is>
          <t>HYLTE</t>
        </is>
      </c>
      <c r="G630" t="n">
        <v>2.5</v>
      </c>
      <c r="H630" t="n">
        <v>0</v>
      </c>
      <c r="I630" t="n">
        <v>0</v>
      </c>
      <c r="J630" t="n">
        <v>0</v>
      </c>
      <c r="K630" t="n">
        <v>0</v>
      </c>
      <c r="L630" t="n">
        <v>0</v>
      </c>
      <c r="M630" t="n">
        <v>0</v>
      </c>
      <c r="N630" t="n">
        <v>0</v>
      </c>
      <c r="O630" t="n">
        <v>0</v>
      </c>
      <c r="P630" t="n">
        <v>0</v>
      </c>
      <c r="Q630" t="n">
        <v>0</v>
      </c>
      <c r="R630" s="2" t="inlineStr"/>
    </row>
    <row r="631" ht="15" customHeight="1">
      <c r="A631" t="inlineStr">
        <is>
          <t>A 25064-2024</t>
        </is>
      </c>
      <c r="B631" s="1" t="n">
        <v>45462.36393518518</v>
      </c>
      <c r="C631" s="1" t="n">
        <v>45983</v>
      </c>
      <c r="D631" t="inlineStr">
        <is>
          <t>HALLANDS LÄN</t>
        </is>
      </c>
      <c r="E631" t="inlineStr">
        <is>
          <t>HYLTE</t>
        </is>
      </c>
      <c r="G631" t="n">
        <v>0.4</v>
      </c>
      <c r="H631" t="n">
        <v>0</v>
      </c>
      <c r="I631" t="n">
        <v>0</v>
      </c>
      <c r="J631" t="n">
        <v>0</v>
      </c>
      <c r="K631" t="n">
        <v>0</v>
      </c>
      <c r="L631" t="n">
        <v>0</v>
      </c>
      <c r="M631" t="n">
        <v>0</v>
      </c>
      <c r="N631" t="n">
        <v>0</v>
      </c>
      <c r="O631" t="n">
        <v>0</v>
      </c>
      <c r="P631" t="n">
        <v>0</v>
      </c>
      <c r="Q631" t="n">
        <v>0</v>
      </c>
      <c r="R631" s="2" t="inlineStr"/>
    </row>
    <row r="632" ht="15" customHeight="1">
      <c r="A632" t="inlineStr">
        <is>
          <t>A 40725-2023</t>
        </is>
      </c>
      <c r="B632" s="1" t="n">
        <v>45170</v>
      </c>
      <c r="C632" s="1" t="n">
        <v>45983</v>
      </c>
      <c r="D632" t="inlineStr">
        <is>
          <t>HALLANDS LÄN</t>
        </is>
      </c>
      <c r="E632" t="inlineStr">
        <is>
          <t>HYLTE</t>
        </is>
      </c>
      <c r="G632" t="n">
        <v>1.4</v>
      </c>
      <c r="H632" t="n">
        <v>0</v>
      </c>
      <c r="I632" t="n">
        <v>0</v>
      </c>
      <c r="J632" t="n">
        <v>0</v>
      </c>
      <c r="K632" t="n">
        <v>0</v>
      </c>
      <c r="L632" t="n">
        <v>0</v>
      </c>
      <c r="M632" t="n">
        <v>0</v>
      </c>
      <c r="N632" t="n">
        <v>0</v>
      </c>
      <c r="O632" t="n">
        <v>0</v>
      </c>
      <c r="P632" t="n">
        <v>0</v>
      </c>
      <c r="Q632" t="n">
        <v>0</v>
      </c>
      <c r="R632" s="2" t="inlineStr"/>
    </row>
    <row r="633" ht="15" customHeight="1">
      <c r="A633" t="inlineStr">
        <is>
          <t>A 28009-2024</t>
        </is>
      </c>
      <c r="B633" s="1" t="n">
        <v>45476.46474537037</v>
      </c>
      <c r="C633" s="1" t="n">
        <v>45983</v>
      </c>
      <c r="D633" t="inlineStr">
        <is>
          <t>HALLANDS LÄN</t>
        </is>
      </c>
      <c r="E633" t="inlineStr">
        <is>
          <t>HYLTE</t>
        </is>
      </c>
      <c r="F633" t="inlineStr">
        <is>
          <t>Bergvik skog väst AB</t>
        </is>
      </c>
      <c r="G633" t="n">
        <v>2</v>
      </c>
      <c r="H633" t="n">
        <v>0</v>
      </c>
      <c r="I633" t="n">
        <v>0</v>
      </c>
      <c r="J633" t="n">
        <v>0</v>
      </c>
      <c r="K633" t="n">
        <v>0</v>
      </c>
      <c r="L633" t="n">
        <v>0</v>
      </c>
      <c r="M633" t="n">
        <v>0</v>
      </c>
      <c r="N633" t="n">
        <v>0</v>
      </c>
      <c r="O633" t="n">
        <v>0</v>
      </c>
      <c r="P633" t="n">
        <v>0</v>
      </c>
      <c r="Q633" t="n">
        <v>0</v>
      </c>
      <c r="R633" s="2" t="inlineStr"/>
    </row>
    <row r="634" ht="15" customHeight="1">
      <c r="A634" t="inlineStr">
        <is>
          <t>A 7895-2025</t>
        </is>
      </c>
      <c r="B634" s="1" t="n">
        <v>45707.30634259259</v>
      </c>
      <c r="C634" s="1" t="n">
        <v>45983</v>
      </c>
      <c r="D634" t="inlineStr">
        <is>
          <t>HALLANDS LÄN</t>
        </is>
      </c>
      <c r="E634" t="inlineStr">
        <is>
          <t>HYLTE</t>
        </is>
      </c>
      <c r="G634" t="n">
        <v>1.7</v>
      </c>
      <c r="H634" t="n">
        <v>0</v>
      </c>
      <c r="I634" t="n">
        <v>0</v>
      </c>
      <c r="J634" t="n">
        <v>0</v>
      </c>
      <c r="K634" t="n">
        <v>0</v>
      </c>
      <c r="L634" t="n">
        <v>0</v>
      </c>
      <c r="M634" t="n">
        <v>0</v>
      </c>
      <c r="N634" t="n">
        <v>0</v>
      </c>
      <c r="O634" t="n">
        <v>0</v>
      </c>
      <c r="P634" t="n">
        <v>0</v>
      </c>
      <c r="Q634" t="n">
        <v>0</v>
      </c>
      <c r="R634" s="2" t="inlineStr"/>
    </row>
    <row r="635" ht="15" customHeight="1">
      <c r="A635" t="inlineStr">
        <is>
          <t>A 12917-2025</t>
        </is>
      </c>
      <c r="B635" s="1" t="n">
        <v>45733.90141203703</v>
      </c>
      <c r="C635" s="1" t="n">
        <v>45983</v>
      </c>
      <c r="D635" t="inlineStr">
        <is>
          <t>HALLANDS LÄN</t>
        </is>
      </c>
      <c r="E635" t="inlineStr">
        <is>
          <t>HYLTE</t>
        </is>
      </c>
      <c r="G635" t="n">
        <v>1.1</v>
      </c>
      <c r="H635" t="n">
        <v>0</v>
      </c>
      <c r="I635" t="n">
        <v>0</v>
      </c>
      <c r="J635" t="n">
        <v>0</v>
      </c>
      <c r="K635" t="n">
        <v>0</v>
      </c>
      <c r="L635" t="n">
        <v>0</v>
      </c>
      <c r="M635" t="n">
        <v>0</v>
      </c>
      <c r="N635" t="n">
        <v>0</v>
      </c>
      <c r="O635" t="n">
        <v>0</v>
      </c>
      <c r="P635" t="n">
        <v>0</v>
      </c>
      <c r="Q635" t="n">
        <v>0</v>
      </c>
      <c r="R635" s="2" t="inlineStr"/>
    </row>
    <row r="636" ht="15" customHeight="1">
      <c r="A636" t="inlineStr">
        <is>
          <t>A 51372-2024</t>
        </is>
      </c>
      <c r="B636" s="1" t="n">
        <v>45604.37665509259</v>
      </c>
      <c r="C636" s="1" t="n">
        <v>45983</v>
      </c>
      <c r="D636" t="inlineStr">
        <is>
          <t>HALLANDS LÄN</t>
        </is>
      </c>
      <c r="E636" t="inlineStr">
        <is>
          <t>HYLTE</t>
        </is>
      </c>
      <c r="G636" t="n">
        <v>1.3</v>
      </c>
      <c r="H636" t="n">
        <v>0</v>
      </c>
      <c r="I636" t="n">
        <v>0</v>
      </c>
      <c r="J636" t="n">
        <v>0</v>
      </c>
      <c r="K636" t="n">
        <v>0</v>
      </c>
      <c r="L636" t="n">
        <v>0</v>
      </c>
      <c r="M636" t="n">
        <v>0</v>
      </c>
      <c r="N636" t="n">
        <v>0</v>
      </c>
      <c r="O636" t="n">
        <v>0</v>
      </c>
      <c r="P636" t="n">
        <v>0</v>
      </c>
      <c r="Q636" t="n">
        <v>0</v>
      </c>
      <c r="R636" s="2" t="inlineStr"/>
    </row>
    <row r="637" ht="15" customHeight="1">
      <c r="A637" t="inlineStr">
        <is>
          <t>A 26257-2023</t>
        </is>
      </c>
      <c r="B637" s="1" t="n">
        <v>45091.6053587963</v>
      </c>
      <c r="C637" s="1" t="n">
        <v>45983</v>
      </c>
      <c r="D637" t="inlineStr">
        <is>
          <t>HALLANDS LÄN</t>
        </is>
      </c>
      <c r="E637" t="inlineStr">
        <is>
          <t>HYLTE</t>
        </is>
      </c>
      <c r="G637" t="n">
        <v>4.9</v>
      </c>
      <c r="H637" t="n">
        <v>0</v>
      </c>
      <c r="I637" t="n">
        <v>0</v>
      </c>
      <c r="J637" t="n">
        <v>0</v>
      </c>
      <c r="K637" t="n">
        <v>0</v>
      </c>
      <c r="L637" t="n">
        <v>0</v>
      </c>
      <c r="M637" t="n">
        <v>0</v>
      </c>
      <c r="N637" t="n">
        <v>0</v>
      </c>
      <c r="O637" t="n">
        <v>0</v>
      </c>
      <c r="P637" t="n">
        <v>0</v>
      </c>
      <c r="Q637" t="n">
        <v>0</v>
      </c>
      <c r="R637" s="2" t="inlineStr"/>
    </row>
    <row r="638" ht="15" customHeight="1">
      <c r="A638" t="inlineStr">
        <is>
          <t>A 49916-2024</t>
        </is>
      </c>
      <c r="B638" s="1" t="n">
        <v>45597.56770833334</v>
      </c>
      <c r="C638" s="1" t="n">
        <v>45983</v>
      </c>
      <c r="D638" t="inlineStr">
        <is>
          <t>HALLANDS LÄN</t>
        </is>
      </c>
      <c r="E638" t="inlineStr">
        <is>
          <t>HYLTE</t>
        </is>
      </c>
      <c r="G638" t="n">
        <v>0.5</v>
      </c>
      <c r="H638" t="n">
        <v>0</v>
      </c>
      <c r="I638" t="n">
        <v>0</v>
      </c>
      <c r="J638" t="n">
        <v>0</v>
      </c>
      <c r="K638" t="n">
        <v>0</v>
      </c>
      <c r="L638" t="n">
        <v>0</v>
      </c>
      <c r="M638" t="n">
        <v>0</v>
      </c>
      <c r="N638" t="n">
        <v>0</v>
      </c>
      <c r="O638" t="n">
        <v>0</v>
      </c>
      <c r="P638" t="n">
        <v>0</v>
      </c>
      <c r="Q638" t="n">
        <v>0</v>
      </c>
      <c r="R638" s="2" t="inlineStr"/>
    </row>
    <row r="639" ht="15" customHeight="1">
      <c r="A639" t="inlineStr">
        <is>
          <t>A 12706-2022</t>
        </is>
      </c>
      <c r="B639" s="1" t="n">
        <v>44641.62895833333</v>
      </c>
      <c r="C639" s="1" t="n">
        <v>45983</v>
      </c>
      <c r="D639" t="inlineStr">
        <is>
          <t>HALLANDS LÄN</t>
        </is>
      </c>
      <c r="E639" t="inlineStr">
        <is>
          <t>HYLTE</t>
        </is>
      </c>
      <c r="G639" t="n">
        <v>1.7</v>
      </c>
      <c r="H639" t="n">
        <v>0</v>
      </c>
      <c r="I639" t="n">
        <v>0</v>
      </c>
      <c r="J639" t="n">
        <v>0</v>
      </c>
      <c r="K639" t="n">
        <v>0</v>
      </c>
      <c r="L639" t="n">
        <v>0</v>
      </c>
      <c r="M639" t="n">
        <v>0</v>
      </c>
      <c r="N639" t="n">
        <v>0</v>
      </c>
      <c r="O639" t="n">
        <v>0</v>
      </c>
      <c r="P639" t="n">
        <v>0</v>
      </c>
      <c r="Q639" t="n">
        <v>0</v>
      </c>
      <c r="R639" s="2" t="inlineStr"/>
    </row>
    <row r="640" ht="15" customHeight="1">
      <c r="A640" t="inlineStr">
        <is>
          <t>A 19791-2024</t>
        </is>
      </c>
      <c r="B640" s="1" t="n">
        <v>45432</v>
      </c>
      <c r="C640" s="1" t="n">
        <v>45983</v>
      </c>
      <c r="D640" t="inlineStr">
        <is>
          <t>HALLANDS LÄN</t>
        </is>
      </c>
      <c r="E640" t="inlineStr">
        <is>
          <t>HYLTE</t>
        </is>
      </c>
      <c r="G640" t="n">
        <v>1.7</v>
      </c>
      <c r="H640" t="n">
        <v>0</v>
      </c>
      <c r="I640" t="n">
        <v>0</v>
      </c>
      <c r="J640" t="n">
        <v>0</v>
      </c>
      <c r="K640" t="n">
        <v>0</v>
      </c>
      <c r="L640" t="n">
        <v>0</v>
      </c>
      <c r="M640" t="n">
        <v>0</v>
      </c>
      <c r="N640" t="n">
        <v>0</v>
      </c>
      <c r="O640" t="n">
        <v>0</v>
      </c>
      <c r="P640" t="n">
        <v>0</v>
      </c>
      <c r="Q640" t="n">
        <v>0</v>
      </c>
      <c r="R640" s="2" t="inlineStr"/>
    </row>
    <row r="641" ht="15" customHeight="1">
      <c r="A641" t="inlineStr">
        <is>
          <t>A 37725-2023</t>
        </is>
      </c>
      <c r="B641" s="1" t="n">
        <v>45159.60880787037</v>
      </c>
      <c r="C641" s="1" t="n">
        <v>45983</v>
      </c>
      <c r="D641" t="inlineStr">
        <is>
          <t>HALLANDS LÄN</t>
        </is>
      </c>
      <c r="E641" t="inlineStr">
        <is>
          <t>HYLTE</t>
        </is>
      </c>
      <c r="G641" t="n">
        <v>2.1</v>
      </c>
      <c r="H641" t="n">
        <v>0</v>
      </c>
      <c r="I641" t="n">
        <v>0</v>
      </c>
      <c r="J641" t="n">
        <v>0</v>
      </c>
      <c r="K641" t="n">
        <v>0</v>
      </c>
      <c r="L641" t="n">
        <v>0</v>
      </c>
      <c r="M641" t="n">
        <v>0</v>
      </c>
      <c r="N641" t="n">
        <v>0</v>
      </c>
      <c r="O641" t="n">
        <v>0</v>
      </c>
      <c r="P641" t="n">
        <v>0</v>
      </c>
      <c r="Q641" t="n">
        <v>0</v>
      </c>
      <c r="R641" s="2" t="inlineStr"/>
    </row>
    <row r="642" ht="15" customHeight="1">
      <c r="A642" t="inlineStr">
        <is>
          <t>A 24035-2024</t>
        </is>
      </c>
      <c r="B642" s="1" t="n">
        <v>45456.47403935185</v>
      </c>
      <c r="C642" s="1" t="n">
        <v>45983</v>
      </c>
      <c r="D642" t="inlineStr">
        <is>
          <t>HALLANDS LÄN</t>
        </is>
      </c>
      <c r="E642" t="inlineStr">
        <is>
          <t>HYLTE</t>
        </is>
      </c>
      <c r="G642" t="n">
        <v>1.7</v>
      </c>
      <c r="H642" t="n">
        <v>0</v>
      </c>
      <c r="I642" t="n">
        <v>0</v>
      </c>
      <c r="J642" t="n">
        <v>0</v>
      </c>
      <c r="K642" t="n">
        <v>0</v>
      </c>
      <c r="L642" t="n">
        <v>0</v>
      </c>
      <c r="M642" t="n">
        <v>0</v>
      </c>
      <c r="N642" t="n">
        <v>0</v>
      </c>
      <c r="O642" t="n">
        <v>0</v>
      </c>
      <c r="P642" t="n">
        <v>0</v>
      </c>
      <c r="Q642" t="n">
        <v>0</v>
      </c>
      <c r="R642" s="2" t="inlineStr"/>
    </row>
    <row r="643" ht="15" customHeight="1">
      <c r="A643" t="inlineStr">
        <is>
          <t>A 10600-2024</t>
        </is>
      </c>
      <c r="B643" s="1" t="n">
        <v>45366</v>
      </c>
      <c r="C643" s="1" t="n">
        <v>45983</v>
      </c>
      <c r="D643" t="inlineStr">
        <is>
          <t>HALLANDS LÄN</t>
        </is>
      </c>
      <c r="E643" t="inlineStr">
        <is>
          <t>HYLTE</t>
        </is>
      </c>
      <c r="F643" t="inlineStr">
        <is>
          <t>Kyrkan</t>
        </is>
      </c>
      <c r="G643" t="n">
        <v>5</v>
      </c>
      <c r="H643" t="n">
        <v>0</v>
      </c>
      <c r="I643" t="n">
        <v>0</v>
      </c>
      <c r="J643" t="n">
        <v>0</v>
      </c>
      <c r="K643" t="n">
        <v>0</v>
      </c>
      <c r="L643" t="n">
        <v>0</v>
      </c>
      <c r="M643" t="n">
        <v>0</v>
      </c>
      <c r="N643" t="n">
        <v>0</v>
      </c>
      <c r="O643" t="n">
        <v>0</v>
      </c>
      <c r="P643" t="n">
        <v>0</v>
      </c>
      <c r="Q643" t="n">
        <v>0</v>
      </c>
      <c r="R643" s="2" t="inlineStr"/>
    </row>
    <row r="644" ht="15" customHeight="1">
      <c r="A644" t="inlineStr">
        <is>
          <t>A 19956-2022</t>
        </is>
      </c>
      <c r="B644" s="1" t="n">
        <v>44697</v>
      </c>
      <c r="C644" s="1" t="n">
        <v>45983</v>
      </c>
      <c r="D644" t="inlineStr">
        <is>
          <t>HALLANDS LÄN</t>
        </is>
      </c>
      <c r="E644" t="inlineStr">
        <is>
          <t>HYLTE</t>
        </is>
      </c>
      <c r="G644" t="n">
        <v>1.8</v>
      </c>
      <c r="H644" t="n">
        <v>0</v>
      </c>
      <c r="I644" t="n">
        <v>0</v>
      </c>
      <c r="J644" t="n">
        <v>0</v>
      </c>
      <c r="K644" t="n">
        <v>0</v>
      </c>
      <c r="L644" t="n">
        <v>0</v>
      </c>
      <c r="M644" t="n">
        <v>0</v>
      </c>
      <c r="N644" t="n">
        <v>0</v>
      </c>
      <c r="O644" t="n">
        <v>0</v>
      </c>
      <c r="P644" t="n">
        <v>0</v>
      </c>
      <c r="Q644" t="n">
        <v>0</v>
      </c>
      <c r="R644" s="2" t="inlineStr"/>
    </row>
    <row r="645" ht="15" customHeight="1">
      <c r="A645" t="inlineStr">
        <is>
          <t>A 13745-2025</t>
        </is>
      </c>
      <c r="B645" s="1" t="n">
        <v>45737</v>
      </c>
      <c r="C645" s="1" t="n">
        <v>45983</v>
      </c>
      <c r="D645" t="inlineStr">
        <is>
          <t>HALLANDS LÄN</t>
        </is>
      </c>
      <c r="E645" t="inlineStr">
        <is>
          <t>HYLTE</t>
        </is>
      </c>
      <c r="G645" t="n">
        <v>2</v>
      </c>
      <c r="H645" t="n">
        <v>0</v>
      </c>
      <c r="I645" t="n">
        <v>0</v>
      </c>
      <c r="J645" t="n">
        <v>0</v>
      </c>
      <c r="K645" t="n">
        <v>0</v>
      </c>
      <c r="L645" t="n">
        <v>0</v>
      </c>
      <c r="M645" t="n">
        <v>0</v>
      </c>
      <c r="N645" t="n">
        <v>0</v>
      </c>
      <c r="O645" t="n">
        <v>0</v>
      </c>
      <c r="P645" t="n">
        <v>0</v>
      </c>
      <c r="Q645" t="n">
        <v>0</v>
      </c>
      <c r="R645" s="2" t="inlineStr"/>
    </row>
    <row r="646" ht="15" customHeight="1">
      <c r="A646" t="inlineStr">
        <is>
          <t>A 45513-2023</t>
        </is>
      </c>
      <c r="B646" s="1" t="n">
        <v>45194.49366898148</v>
      </c>
      <c r="C646" s="1" t="n">
        <v>45983</v>
      </c>
      <c r="D646" t="inlineStr">
        <is>
          <t>HALLANDS LÄN</t>
        </is>
      </c>
      <c r="E646" t="inlineStr">
        <is>
          <t>HYLTE</t>
        </is>
      </c>
      <c r="G646" t="n">
        <v>1.6</v>
      </c>
      <c r="H646" t="n">
        <v>0</v>
      </c>
      <c r="I646" t="n">
        <v>0</v>
      </c>
      <c r="J646" t="n">
        <v>0</v>
      </c>
      <c r="K646" t="n">
        <v>0</v>
      </c>
      <c r="L646" t="n">
        <v>0</v>
      </c>
      <c r="M646" t="n">
        <v>0</v>
      </c>
      <c r="N646" t="n">
        <v>0</v>
      </c>
      <c r="O646" t="n">
        <v>0</v>
      </c>
      <c r="P646" t="n">
        <v>0</v>
      </c>
      <c r="Q646" t="n">
        <v>0</v>
      </c>
      <c r="R646" s="2" t="inlineStr"/>
    </row>
    <row r="647" ht="15" customHeight="1">
      <c r="A647" t="inlineStr">
        <is>
          <t>A 23407-2021</t>
        </is>
      </c>
      <c r="B647" s="1" t="n">
        <v>44333.65354166667</v>
      </c>
      <c r="C647" s="1" t="n">
        <v>45983</v>
      </c>
      <c r="D647" t="inlineStr">
        <is>
          <t>HALLANDS LÄN</t>
        </is>
      </c>
      <c r="E647" t="inlineStr">
        <is>
          <t>HYLTE</t>
        </is>
      </c>
      <c r="G647" t="n">
        <v>1.3</v>
      </c>
      <c r="H647" t="n">
        <v>0</v>
      </c>
      <c r="I647" t="n">
        <v>0</v>
      </c>
      <c r="J647" t="n">
        <v>0</v>
      </c>
      <c r="K647" t="n">
        <v>0</v>
      </c>
      <c r="L647" t="n">
        <v>0</v>
      </c>
      <c r="M647" t="n">
        <v>0</v>
      </c>
      <c r="N647" t="n">
        <v>0</v>
      </c>
      <c r="O647" t="n">
        <v>0</v>
      </c>
      <c r="P647" t="n">
        <v>0</v>
      </c>
      <c r="Q647" t="n">
        <v>0</v>
      </c>
      <c r="R647" s="2" t="inlineStr"/>
    </row>
    <row r="648" ht="15" customHeight="1">
      <c r="A648" t="inlineStr">
        <is>
          <t>A 47622-2023</t>
        </is>
      </c>
      <c r="B648" s="1" t="n">
        <v>45203.51585648148</v>
      </c>
      <c r="C648" s="1" t="n">
        <v>45983</v>
      </c>
      <c r="D648" t="inlineStr">
        <is>
          <t>HALLANDS LÄN</t>
        </is>
      </c>
      <c r="E648" t="inlineStr">
        <is>
          <t>HYLTE</t>
        </is>
      </c>
      <c r="G648" t="n">
        <v>1.3</v>
      </c>
      <c r="H648" t="n">
        <v>0</v>
      </c>
      <c r="I648" t="n">
        <v>0</v>
      </c>
      <c r="J648" t="n">
        <v>0</v>
      </c>
      <c r="K648" t="n">
        <v>0</v>
      </c>
      <c r="L648" t="n">
        <v>0</v>
      </c>
      <c r="M648" t="n">
        <v>0</v>
      </c>
      <c r="N648" t="n">
        <v>0</v>
      </c>
      <c r="O648" t="n">
        <v>0</v>
      </c>
      <c r="P648" t="n">
        <v>0</v>
      </c>
      <c r="Q648" t="n">
        <v>0</v>
      </c>
      <c r="R648" s="2" t="inlineStr"/>
    </row>
    <row r="649" ht="15" customHeight="1">
      <c r="A649" t="inlineStr">
        <is>
          <t>A 2243-2025</t>
        </is>
      </c>
      <c r="B649" s="1" t="n">
        <v>45673.48840277778</v>
      </c>
      <c r="C649" s="1" t="n">
        <v>45983</v>
      </c>
      <c r="D649" t="inlineStr">
        <is>
          <t>HALLANDS LÄN</t>
        </is>
      </c>
      <c r="E649" t="inlineStr">
        <is>
          <t>HYLTE</t>
        </is>
      </c>
      <c r="G649" t="n">
        <v>1.5</v>
      </c>
      <c r="H649" t="n">
        <v>0</v>
      </c>
      <c r="I649" t="n">
        <v>0</v>
      </c>
      <c r="J649" t="n">
        <v>0</v>
      </c>
      <c r="K649" t="n">
        <v>0</v>
      </c>
      <c r="L649" t="n">
        <v>0</v>
      </c>
      <c r="M649" t="n">
        <v>0</v>
      </c>
      <c r="N649" t="n">
        <v>0</v>
      </c>
      <c r="O649" t="n">
        <v>0</v>
      </c>
      <c r="P649" t="n">
        <v>0</v>
      </c>
      <c r="Q649" t="n">
        <v>0</v>
      </c>
      <c r="R649" s="2" t="inlineStr"/>
    </row>
    <row r="650" ht="15" customHeight="1">
      <c r="A650" t="inlineStr">
        <is>
          <t>A 2249-2025</t>
        </is>
      </c>
      <c r="B650" s="1" t="n">
        <v>45673.49356481482</v>
      </c>
      <c r="C650" s="1" t="n">
        <v>45983</v>
      </c>
      <c r="D650" t="inlineStr">
        <is>
          <t>HALLANDS LÄN</t>
        </is>
      </c>
      <c r="E650" t="inlineStr">
        <is>
          <t>HYLTE</t>
        </is>
      </c>
      <c r="G650" t="n">
        <v>5.1</v>
      </c>
      <c r="H650" t="n">
        <v>0</v>
      </c>
      <c r="I650" t="n">
        <v>0</v>
      </c>
      <c r="J650" t="n">
        <v>0</v>
      </c>
      <c r="K650" t="n">
        <v>0</v>
      </c>
      <c r="L650" t="n">
        <v>0</v>
      </c>
      <c r="M650" t="n">
        <v>0</v>
      </c>
      <c r="N650" t="n">
        <v>0</v>
      </c>
      <c r="O650" t="n">
        <v>0</v>
      </c>
      <c r="P650" t="n">
        <v>0</v>
      </c>
      <c r="Q650" t="n">
        <v>0</v>
      </c>
      <c r="R650" s="2" t="inlineStr"/>
    </row>
    <row r="651" ht="15" customHeight="1">
      <c r="A651" t="inlineStr">
        <is>
          <t>A 18385-2025</t>
        </is>
      </c>
      <c r="B651" s="1" t="n">
        <v>45762.58609953704</v>
      </c>
      <c r="C651" s="1" t="n">
        <v>45983</v>
      </c>
      <c r="D651" t="inlineStr">
        <is>
          <t>HALLANDS LÄN</t>
        </is>
      </c>
      <c r="E651" t="inlineStr">
        <is>
          <t>HYLTE</t>
        </is>
      </c>
      <c r="G651" t="n">
        <v>4.3</v>
      </c>
      <c r="H651" t="n">
        <v>0</v>
      </c>
      <c r="I651" t="n">
        <v>0</v>
      </c>
      <c r="J651" t="n">
        <v>0</v>
      </c>
      <c r="K651" t="n">
        <v>0</v>
      </c>
      <c r="L651" t="n">
        <v>0</v>
      </c>
      <c r="M651" t="n">
        <v>0</v>
      </c>
      <c r="N651" t="n">
        <v>0</v>
      </c>
      <c r="O651" t="n">
        <v>0</v>
      </c>
      <c r="P651" t="n">
        <v>0</v>
      </c>
      <c r="Q651" t="n">
        <v>0</v>
      </c>
      <c r="R651" s="2" t="inlineStr"/>
    </row>
    <row r="652" ht="15" customHeight="1">
      <c r="A652" t="inlineStr">
        <is>
          <t>A 2877-2025</t>
        </is>
      </c>
      <c r="B652" s="1" t="n">
        <v>45677.69133101852</v>
      </c>
      <c r="C652" s="1" t="n">
        <v>45983</v>
      </c>
      <c r="D652" t="inlineStr">
        <is>
          <t>HALLANDS LÄN</t>
        </is>
      </c>
      <c r="E652" t="inlineStr">
        <is>
          <t>HYLTE</t>
        </is>
      </c>
      <c r="G652" t="n">
        <v>0.5</v>
      </c>
      <c r="H652" t="n">
        <v>0</v>
      </c>
      <c r="I652" t="n">
        <v>0</v>
      </c>
      <c r="J652" t="n">
        <v>0</v>
      </c>
      <c r="K652" t="n">
        <v>0</v>
      </c>
      <c r="L652" t="n">
        <v>0</v>
      </c>
      <c r="M652" t="n">
        <v>0</v>
      </c>
      <c r="N652" t="n">
        <v>0</v>
      </c>
      <c r="O652" t="n">
        <v>0</v>
      </c>
      <c r="P652" t="n">
        <v>0</v>
      </c>
      <c r="Q652" t="n">
        <v>0</v>
      </c>
      <c r="R652" s="2" t="inlineStr"/>
    </row>
    <row r="653" ht="15" customHeight="1">
      <c r="A653" t="inlineStr">
        <is>
          <t>A 19239-2022</t>
        </is>
      </c>
      <c r="B653" s="1" t="n">
        <v>44692.36548611111</v>
      </c>
      <c r="C653" s="1" t="n">
        <v>45983</v>
      </c>
      <c r="D653" t="inlineStr">
        <is>
          <t>HALLANDS LÄN</t>
        </is>
      </c>
      <c r="E653" t="inlineStr">
        <is>
          <t>HYLTE</t>
        </is>
      </c>
      <c r="G653" t="n">
        <v>4.9</v>
      </c>
      <c r="H653" t="n">
        <v>0</v>
      </c>
      <c r="I653" t="n">
        <v>0</v>
      </c>
      <c r="J653" t="n">
        <v>0</v>
      </c>
      <c r="K653" t="n">
        <v>0</v>
      </c>
      <c r="L653" t="n">
        <v>0</v>
      </c>
      <c r="M653" t="n">
        <v>0</v>
      </c>
      <c r="N653" t="n">
        <v>0</v>
      </c>
      <c r="O653" t="n">
        <v>0</v>
      </c>
      <c r="P653" t="n">
        <v>0</v>
      </c>
      <c r="Q653" t="n">
        <v>0</v>
      </c>
      <c r="R653" s="2" t="inlineStr"/>
    </row>
    <row r="654" ht="15" customHeight="1">
      <c r="A654" t="inlineStr">
        <is>
          <t>A 33610-2023</t>
        </is>
      </c>
      <c r="B654" s="1" t="n">
        <v>45132.34225694444</v>
      </c>
      <c r="C654" s="1" t="n">
        <v>45983</v>
      </c>
      <c r="D654" t="inlineStr">
        <is>
          <t>HALLANDS LÄN</t>
        </is>
      </c>
      <c r="E654" t="inlineStr">
        <is>
          <t>HYLTE</t>
        </is>
      </c>
      <c r="G654" t="n">
        <v>3.1</v>
      </c>
      <c r="H654" t="n">
        <v>0</v>
      </c>
      <c r="I654" t="n">
        <v>0</v>
      </c>
      <c r="J654" t="n">
        <v>0</v>
      </c>
      <c r="K654" t="n">
        <v>0</v>
      </c>
      <c r="L654" t="n">
        <v>0</v>
      </c>
      <c r="M654" t="n">
        <v>0</v>
      </c>
      <c r="N654" t="n">
        <v>0</v>
      </c>
      <c r="O654" t="n">
        <v>0</v>
      </c>
      <c r="P654" t="n">
        <v>0</v>
      </c>
      <c r="Q654" t="n">
        <v>0</v>
      </c>
      <c r="R654" s="2" t="inlineStr"/>
    </row>
    <row r="655" ht="15" customHeight="1">
      <c r="A655" t="inlineStr">
        <is>
          <t>A 20518-2025</t>
        </is>
      </c>
      <c r="B655" s="1" t="n">
        <v>45775.59795138889</v>
      </c>
      <c r="C655" s="1" t="n">
        <v>45983</v>
      </c>
      <c r="D655" t="inlineStr">
        <is>
          <t>HALLANDS LÄN</t>
        </is>
      </c>
      <c r="E655" t="inlineStr">
        <is>
          <t>HYLTE</t>
        </is>
      </c>
      <c r="G655" t="n">
        <v>1.2</v>
      </c>
      <c r="H655" t="n">
        <v>0</v>
      </c>
      <c r="I655" t="n">
        <v>0</v>
      </c>
      <c r="J655" t="n">
        <v>0</v>
      </c>
      <c r="K655" t="n">
        <v>0</v>
      </c>
      <c r="L655" t="n">
        <v>0</v>
      </c>
      <c r="M655" t="n">
        <v>0</v>
      </c>
      <c r="N655" t="n">
        <v>0</v>
      </c>
      <c r="O655" t="n">
        <v>0</v>
      </c>
      <c r="P655" t="n">
        <v>0</v>
      </c>
      <c r="Q655" t="n">
        <v>0</v>
      </c>
      <c r="R655" s="2" t="inlineStr"/>
    </row>
    <row r="656" ht="15" customHeight="1">
      <c r="A656" t="inlineStr">
        <is>
          <t>A 41012-2023</t>
        </is>
      </c>
      <c r="B656" s="1" t="n">
        <v>45173</v>
      </c>
      <c r="C656" s="1" t="n">
        <v>45983</v>
      </c>
      <c r="D656" t="inlineStr">
        <is>
          <t>HALLANDS LÄN</t>
        </is>
      </c>
      <c r="E656" t="inlineStr">
        <is>
          <t>HYLTE</t>
        </is>
      </c>
      <c r="G656" t="n">
        <v>3.3</v>
      </c>
      <c r="H656" t="n">
        <v>0</v>
      </c>
      <c r="I656" t="n">
        <v>0</v>
      </c>
      <c r="J656" t="n">
        <v>0</v>
      </c>
      <c r="K656" t="n">
        <v>0</v>
      </c>
      <c r="L656" t="n">
        <v>0</v>
      </c>
      <c r="M656" t="n">
        <v>0</v>
      </c>
      <c r="N656" t="n">
        <v>0</v>
      </c>
      <c r="O656" t="n">
        <v>0</v>
      </c>
      <c r="P656" t="n">
        <v>0</v>
      </c>
      <c r="Q656" t="n">
        <v>0</v>
      </c>
      <c r="R656" s="2" t="inlineStr"/>
    </row>
    <row r="657" ht="15" customHeight="1">
      <c r="A657" t="inlineStr">
        <is>
          <t>A 36705-2023</t>
        </is>
      </c>
      <c r="B657" s="1" t="n">
        <v>45153.64658564814</v>
      </c>
      <c r="C657" s="1" t="n">
        <v>45983</v>
      </c>
      <c r="D657" t="inlineStr">
        <is>
          <t>HALLANDS LÄN</t>
        </is>
      </c>
      <c r="E657" t="inlineStr">
        <is>
          <t>HYLTE</t>
        </is>
      </c>
      <c r="G657" t="n">
        <v>3.1</v>
      </c>
      <c r="H657" t="n">
        <v>0</v>
      </c>
      <c r="I657" t="n">
        <v>0</v>
      </c>
      <c r="J657" t="n">
        <v>0</v>
      </c>
      <c r="K657" t="n">
        <v>0</v>
      </c>
      <c r="L657" t="n">
        <v>0</v>
      </c>
      <c r="M657" t="n">
        <v>0</v>
      </c>
      <c r="N657" t="n">
        <v>0</v>
      </c>
      <c r="O657" t="n">
        <v>0</v>
      </c>
      <c r="P657" t="n">
        <v>0</v>
      </c>
      <c r="Q657" t="n">
        <v>0</v>
      </c>
      <c r="R657" s="2" t="inlineStr"/>
    </row>
    <row r="658" ht="15" customHeight="1">
      <c r="A658" t="inlineStr">
        <is>
          <t>A 54003-2024</t>
        </is>
      </c>
      <c r="B658" s="1" t="n">
        <v>45616.36583333334</v>
      </c>
      <c r="C658" s="1" t="n">
        <v>45983</v>
      </c>
      <c r="D658" t="inlineStr">
        <is>
          <t>HALLANDS LÄN</t>
        </is>
      </c>
      <c r="E658" t="inlineStr">
        <is>
          <t>HYLTE</t>
        </is>
      </c>
      <c r="G658" t="n">
        <v>2.6</v>
      </c>
      <c r="H658" t="n">
        <v>0</v>
      </c>
      <c r="I658" t="n">
        <v>0</v>
      </c>
      <c r="J658" t="n">
        <v>0</v>
      </c>
      <c r="K658" t="n">
        <v>0</v>
      </c>
      <c r="L658" t="n">
        <v>0</v>
      </c>
      <c r="M658" t="n">
        <v>0</v>
      </c>
      <c r="N658" t="n">
        <v>0</v>
      </c>
      <c r="O658" t="n">
        <v>0</v>
      </c>
      <c r="P658" t="n">
        <v>0</v>
      </c>
      <c r="Q658" t="n">
        <v>0</v>
      </c>
      <c r="R658" s="2" t="inlineStr"/>
    </row>
    <row r="659" ht="15" customHeight="1">
      <c r="A659" t="inlineStr">
        <is>
          <t>A 24659-2023</t>
        </is>
      </c>
      <c r="B659" s="1" t="n">
        <v>45084</v>
      </c>
      <c r="C659" s="1" t="n">
        <v>45983</v>
      </c>
      <c r="D659" t="inlineStr">
        <is>
          <t>HALLANDS LÄN</t>
        </is>
      </c>
      <c r="E659" t="inlineStr">
        <is>
          <t>HYLTE</t>
        </is>
      </c>
      <c r="G659" t="n">
        <v>2.3</v>
      </c>
      <c r="H659" t="n">
        <v>0</v>
      </c>
      <c r="I659" t="n">
        <v>0</v>
      </c>
      <c r="J659" t="n">
        <v>0</v>
      </c>
      <c r="K659" t="n">
        <v>0</v>
      </c>
      <c r="L659" t="n">
        <v>0</v>
      </c>
      <c r="M659" t="n">
        <v>0</v>
      </c>
      <c r="N659" t="n">
        <v>0</v>
      </c>
      <c r="O659" t="n">
        <v>0</v>
      </c>
      <c r="P659" t="n">
        <v>0</v>
      </c>
      <c r="Q659" t="n">
        <v>0</v>
      </c>
      <c r="R659" s="2" t="inlineStr"/>
    </row>
    <row r="660" ht="15" customHeight="1">
      <c r="A660" t="inlineStr">
        <is>
          <t>A 59422-2023</t>
        </is>
      </c>
      <c r="B660" s="1" t="n">
        <v>45254.24484953703</v>
      </c>
      <c r="C660" s="1" t="n">
        <v>45983</v>
      </c>
      <c r="D660" t="inlineStr">
        <is>
          <t>HALLANDS LÄN</t>
        </is>
      </c>
      <c r="E660" t="inlineStr">
        <is>
          <t>HYLTE</t>
        </is>
      </c>
      <c r="G660" t="n">
        <v>1.7</v>
      </c>
      <c r="H660" t="n">
        <v>0</v>
      </c>
      <c r="I660" t="n">
        <v>0</v>
      </c>
      <c r="J660" t="n">
        <v>0</v>
      </c>
      <c r="K660" t="n">
        <v>0</v>
      </c>
      <c r="L660" t="n">
        <v>0</v>
      </c>
      <c r="M660" t="n">
        <v>0</v>
      </c>
      <c r="N660" t="n">
        <v>0</v>
      </c>
      <c r="O660" t="n">
        <v>0</v>
      </c>
      <c r="P660" t="n">
        <v>0</v>
      </c>
      <c r="Q660" t="n">
        <v>0</v>
      </c>
      <c r="R660" s="2" t="inlineStr"/>
    </row>
    <row r="661" ht="15" customHeight="1">
      <c r="A661" t="inlineStr">
        <is>
          <t>A 49393-2023</t>
        </is>
      </c>
      <c r="B661" s="1" t="n">
        <v>45211</v>
      </c>
      <c r="C661" s="1" t="n">
        <v>45983</v>
      </c>
      <c r="D661" t="inlineStr">
        <is>
          <t>HALLANDS LÄN</t>
        </is>
      </c>
      <c r="E661" t="inlineStr">
        <is>
          <t>HYLTE</t>
        </is>
      </c>
      <c r="G661" t="n">
        <v>0.7</v>
      </c>
      <c r="H661" t="n">
        <v>0</v>
      </c>
      <c r="I661" t="n">
        <v>0</v>
      </c>
      <c r="J661" t="n">
        <v>0</v>
      </c>
      <c r="K661" t="n">
        <v>0</v>
      </c>
      <c r="L661" t="n">
        <v>0</v>
      </c>
      <c r="M661" t="n">
        <v>0</v>
      </c>
      <c r="N661" t="n">
        <v>0</v>
      </c>
      <c r="O661" t="n">
        <v>0</v>
      </c>
      <c r="P661" t="n">
        <v>0</v>
      </c>
      <c r="Q661" t="n">
        <v>0</v>
      </c>
      <c r="R661" s="2" t="inlineStr"/>
    </row>
    <row r="662" ht="15" customHeight="1">
      <c r="A662" t="inlineStr">
        <is>
          <t>A 43399-2024</t>
        </is>
      </c>
      <c r="B662" s="1" t="n">
        <v>45568.61094907407</v>
      </c>
      <c r="C662" s="1" t="n">
        <v>45983</v>
      </c>
      <c r="D662" t="inlineStr">
        <is>
          <t>HALLANDS LÄN</t>
        </is>
      </c>
      <c r="E662" t="inlineStr">
        <is>
          <t>HYLTE</t>
        </is>
      </c>
      <c r="G662" t="n">
        <v>0.9</v>
      </c>
      <c r="H662" t="n">
        <v>0</v>
      </c>
      <c r="I662" t="n">
        <v>0</v>
      </c>
      <c r="J662" t="n">
        <v>0</v>
      </c>
      <c r="K662" t="n">
        <v>0</v>
      </c>
      <c r="L662" t="n">
        <v>0</v>
      </c>
      <c r="M662" t="n">
        <v>0</v>
      </c>
      <c r="N662" t="n">
        <v>0</v>
      </c>
      <c r="O662" t="n">
        <v>0</v>
      </c>
      <c r="P662" t="n">
        <v>0</v>
      </c>
      <c r="Q662" t="n">
        <v>0</v>
      </c>
      <c r="R662" s="2" t="inlineStr"/>
    </row>
    <row r="663" ht="15" customHeight="1">
      <c r="A663" t="inlineStr">
        <is>
          <t>A 24939-2023</t>
        </is>
      </c>
      <c r="B663" s="1" t="n">
        <v>45085.54876157407</v>
      </c>
      <c r="C663" s="1" t="n">
        <v>45983</v>
      </c>
      <c r="D663" t="inlineStr">
        <is>
          <t>HALLANDS LÄN</t>
        </is>
      </c>
      <c r="E663" t="inlineStr">
        <is>
          <t>HYLTE</t>
        </is>
      </c>
      <c r="G663" t="n">
        <v>0.9</v>
      </c>
      <c r="H663" t="n">
        <v>0</v>
      </c>
      <c r="I663" t="n">
        <v>0</v>
      </c>
      <c r="J663" t="n">
        <v>0</v>
      </c>
      <c r="K663" t="n">
        <v>0</v>
      </c>
      <c r="L663" t="n">
        <v>0</v>
      </c>
      <c r="M663" t="n">
        <v>0</v>
      </c>
      <c r="N663" t="n">
        <v>0</v>
      </c>
      <c r="O663" t="n">
        <v>0</v>
      </c>
      <c r="P663" t="n">
        <v>0</v>
      </c>
      <c r="Q663" t="n">
        <v>0</v>
      </c>
      <c r="R663" s="2" t="inlineStr"/>
    </row>
    <row r="664" ht="15" customHeight="1">
      <c r="A664" t="inlineStr">
        <is>
          <t>A 21432-2024</t>
        </is>
      </c>
      <c r="B664" s="1" t="n">
        <v>45441.43418981481</v>
      </c>
      <c r="C664" s="1" t="n">
        <v>45983</v>
      </c>
      <c r="D664" t="inlineStr">
        <is>
          <t>HALLANDS LÄN</t>
        </is>
      </c>
      <c r="E664" t="inlineStr">
        <is>
          <t>HYLTE</t>
        </is>
      </c>
      <c r="F664" t="inlineStr">
        <is>
          <t>Kyrkan</t>
        </is>
      </c>
      <c r="G664" t="n">
        <v>0.8</v>
      </c>
      <c r="H664" t="n">
        <v>0</v>
      </c>
      <c r="I664" t="n">
        <v>0</v>
      </c>
      <c r="J664" t="n">
        <v>0</v>
      </c>
      <c r="K664" t="n">
        <v>0</v>
      </c>
      <c r="L664" t="n">
        <v>0</v>
      </c>
      <c r="M664" t="n">
        <v>0</v>
      </c>
      <c r="N664" t="n">
        <v>0</v>
      </c>
      <c r="O664" t="n">
        <v>0</v>
      </c>
      <c r="P664" t="n">
        <v>0</v>
      </c>
      <c r="Q664" t="n">
        <v>0</v>
      </c>
      <c r="R664" s="2" t="inlineStr"/>
    </row>
    <row r="665" ht="15" customHeight="1">
      <c r="A665" t="inlineStr">
        <is>
          <t>A 24048-2024</t>
        </is>
      </c>
      <c r="B665" s="1" t="n">
        <v>45456.50164351852</v>
      </c>
      <c r="C665" s="1" t="n">
        <v>45983</v>
      </c>
      <c r="D665" t="inlineStr">
        <is>
          <t>HALLANDS LÄN</t>
        </is>
      </c>
      <c r="E665" t="inlineStr">
        <is>
          <t>HYLTE</t>
        </is>
      </c>
      <c r="G665" t="n">
        <v>2.2</v>
      </c>
      <c r="H665" t="n">
        <v>0</v>
      </c>
      <c r="I665" t="n">
        <v>0</v>
      </c>
      <c r="J665" t="n">
        <v>0</v>
      </c>
      <c r="K665" t="n">
        <v>0</v>
      </c>
      <c r="L665" t="n">
        <v>0</v>
      </c>
      <c r="M665" t="n">
        <v>0</v>
      </c>
      <c r="N665" t="n">
        <v>0</v>
      </c>
      <c r="O665" t="n">
        <v>0</v>
      </c>
      <c r="P665" t="n">
        <v>0</v>
      </c>
      <c r="Q665" t="n">
        <v>0</v>
      </c>
      <c r="R665" s="2" t="inlineStr"/>
    </row>
    <row r="666" ht="15" customHeight="1">
      <c r="A666" t="inlineStr">
        <is>
          <t>A 8388-2025</t>
        </is>
      </c>
      <c r="B666" s="1" t="n">
        <v>45709.36311342593</v>
      </c>
      <c r="C666" s="1" t="n">
        <v>45983</v>
      </c>
      <c r="D666" t="inlineStr">
        <is>
          <t>HALLANDS LÄN</t>
        </is>
      </c>
      <c r="E666" t="inlineStr">
        <is>
          <t>HYLTE</t>
        </is>
      </c>
      <c r="G666" t="n">
        <v>2.4</v>
      </c>
      <c r="H666" t="n">
        <v>0</v>
      </c>
      <c r="I666" t="n">
        <v>0</v>
      </c>
      <c r="J666" t="n">
        <v>0</v>
      </c>
      <c r="K666" t="n">
        <v>0</v>
      </c>
      <c r="L666" t="n">
        <v>0</v>
      </c>
      <c r="M666" t="n">
        <v>0</v>
      </c>
      <c r="N666" t="n">
        <v>0</v>
      </c>
      <c r="O666" t="n">
        <v>0</v>
      </c>
      <c r="P666" t="n">
        <v>0</v>
      </c>
      <c r="Q666" t="n">
        <v>0</v>
      </c>
      <c r="R666" s="2" t="inlineStr"/>
    </row>
    <row r="667" ht="15" customHeight="1">
      <c r="A667" t="inlineStr">
        <is>
          <t>A 52465-2023</t>
        </is>
      </c>
      <c r="B667" s="1" t="n">
        <v>45225.41025462963</v>
      </c>
      <c r="C667" s="1" t="n">
        <v>45983</v>
      </c>
      <c r="D667" t="inlineStr">
        <is>
          <t>HALLANDS LÄN</t>
        </is>
      </c>
      <c r="E667" t="inlineStr">
        <is>
          <t>HYLTE</t>
        </is>
      </c>
      <c r="G667" t="n">
        <v>8.800000000000001</v>
      </c>
      <c r="H667" t="n">
        <v>0</v>
      </c>
      <c r="I667" t="n">
        <v>0</v>
      </c>
      <c r="J667" t="n">
        <v>0</v>
      </c>
      <c r="K667" t="n">
        <v>0</v>
      </c>
      <c r="L667" t="n">
        <v>0</v>
      </c>
      <c r="M667" t="n">
        <v>0</v>
      </c>
      <c r="N667" t="n">
        <v>0</v>
      </c>
      <c r="O667" t="n">
        <v>0</v>
      </c>
      <c r="P667" t="n">
        <v>0</v>
      </c>
      <c r="Q667" t="n">
        <v>0</v>
      </c>
      <c r="R667" s="2" t="inlineStr"/>
    </row>
    <row r="668" ht="15" customHeight="1">
      <c r="A668" t="inlineStr">
        <is>
          <t>A 42653-2023</t>
        </is>
      </c>
      <c r="B668" s="1" t="n">
        <v>45181</v>
      </c>
      <c r="C668" s="1" t="n">
        <v>45983</v>
      </c>
      <c r="D668" t="inlineStr">
        <is>
          <t>HALLANDS LÄN</t>
        </is>
      </c>
      <c r="E668" t="inlineStr">
        <is>
          <t>HYLTE</t>
        </is>
      </c>
      <c r="G668" t="n">
        <v>0.5</v>
      </c>
      <c r="H668" t="n">
        <v>0</v>
      </c>
      <c r="I668" t="n">
        <v>0</v>
      </c>
      <c r="J668" t="n">
        <v>0</v>
      </c>
      <c r="K668" t="n">
        <v>0</v>
      </c>
      <c r="L668" t="n">
        <v>0</v>
      </c>
      <c r="M668" t="n">
        <v>0</v>
      </c>
      <c r="N668" t="n">
        <v>0</v>
      </c>
      <c r="O668" t="n">
        <v>0</v>
      </c>
      <c r="P668" t="n">
        <v>0</v>
      </c>
      <c r="Q668" t="n">
        <v>0</v>
      </c>
      <c r="R668" s="2" t="inlineStr"/>
    </row>
    <row r="669" ht="15" customHeight="1">
      <c r="A669" t="inlineStr">
        <is>
          <t>A 40451-2022</t>
        </is>
      </c>
      <c r="B669" s="1" t="n">
        <v>44823</v>
      </c>
      <c r="C669" s="1" t="n">
        <v>45983</v>
      </c>
      <c r="D669" t="inlineStr">
        <is>
          <t>HALLANDS LÄN</t>
        </is>
      </c>
      <c r="E669" t="inlineStr">
        <is>
          <t>HYLTE</t>
        </is>
      </c>
      <c r="G669" t="n">
        <v>7.4</v>
      </c>
      <c r="H669" t="n">
        <v>0</v>
      </c>
      <c r="I669" t="n">
        <v>0</v>
      </c>
      <c r="J669" t="n">
        <v>0</v>
      </c>
      <c r="K669" t="n">
        <v>0</v>
      </c>
      <c r="L669" t="n">
        <v>0</v>
      </c>
      <c r="M669" t="n">
        <v>0</v>
      </c>
      <c r="N669" t="n">
        <v>0</v>
      </c>
      <c r="O669" t="n">
        <v>0</v>
      </c>
      <c r="P669" t="n">
        <v>0</v>
      </c>
      <c r="Q669" t="n">
        <v>0</v>
      </c>
      <c r="R669" s="2" t="inlineStr"/>
    </row>
    <row r="670" ht="15" customHeight="1">
      <c r="A670" t="inlineStr">
        <is>
          <t>A 55600-2023</t>
        </is>
      </c>
      <c r="B670" s="1" t="n">
        <v>45238.69302083334</v>
      </c>
      <c r="C670" s="1" t="n">
        <v>45983</v>
      </c>
      <c r="D670" t="inlineStr">
        <is>
          <t>HALLANDS LÄN</t>
        </is>
      </c>
      <c r="E670" t="inlineStr">
        <is>
          <t>HYLTE</t>
        </is>
      </c>
      <c r="G670" t="n">
        <v>1.1</v>
      </c>
      <c r="H670" t="n">
        <v>0</v>
      </c>
      <c r="I670" t="n">
        <v>0</v>
      </c>
      <c r="J670" t="n">
        <v>0</v>
      </c>
      <c r="K670" t="n">
        <v>0</v>
      </c>
      <c r="L670" t="n">
        <v>0</v>
      </c>
      <c r="M670" t="n">
        <v>0</v>
      </c>
      <c r="N670" t="n">
        <v>0</v>
      </c>
      <c r="O670" t="n">
        <v>0</v>
      </c>
      <c r="P670" t="n">
        <v>0</v>
      </c>
      <c r="Q670" t="n">
        <v>0</v>
      </c>
      <c r="R670" s="2" t="inlineStr"/>
    </row>
    <row r="671" ht="15" customHeight="1">
      <c r="A671" t="inlineStr">
        <is>
          <t>A 65003-2023</t>
        </is>
      </c>
      <c r="B671" s="1" t="n">
        <v>45287.33472222222</v>
      </c>
      <c r="C671" s="1" t="n">
        <v>45983</v>
      </c>
      <c r="D671" t="inlineStr">
        <is>
          <t>HALLANDS LÄN</t>
        </is>
      </c>
      <c r="E671" t="inlineStr">
        <is>
          <t>HYLTE</t>
        </is>
      </c>
      <c r="G671" t="n">
        <v>3.6</v>
      </c>
      <c r="H671" t="n">
        <v>0</v>
      </c>
      <c r="I671" t="n">
        <v>0</v>
      </c>
      <c r="J671" t="n">
        <v>0</v>
      </c>
      <c r="K671" t="n">
        <v>0</v>
      </c>
      <c r="L671" t="n">
        <v>0</v>
      </c>
      <c r="M671" t="n">
        <v>0</v>
      </c>
      <c r="N671" t="n">
        <v>0</v>
      </c>
      <c r="O671" t="n">
        <v>0</v>
      </c>
      <c r="P671" t="n">
        <v>0</v>
      </c>
      <c r="Q671" t="n">
        <v>0</v>
      </c>
      <c r="R671" s="2" t="inlineStr"/>
    </row>
    <row r="672" ht="15" customHeight="1">
      <c r="A672" t="inlineStr">
        <is>
          <t>A 20763-2022</t>
        </is>
      </c>
      <c r="B672" s="1" t="n">
        <v>44701.34938657407</v>
      </c>
      <c r="C672" s="1" t="n">
        <v>45983</v>
      </c>
      <c r="D672" t="inlineStr">
        <is>
          <t>HALLANDS LÄN</t>
        </is>
      </c>
      <c r="E672" t="inlineStr">
        <is>
          <t>HYLTE</t>
        </is>
      </c>
      <c r="F672" t="inlineStr">
        <is>
          <t>Bergvik skog väst AB</t>
        </is>
      </c>
      <c r="G672" t="n">
        <v>10.7</v>
      </c>
      <c r="H672" t="n">
        <v>0</v>
      </c>
      <c r="I672" t="n">
        <v>0</v>
      </c>
      <c r="J672" t="n">
        <v>0</v>
      </c>
      <c r="K672" t="n">
        <v>0</v>
      </c>
      <c r="L672" t="n">
        <v>0</v>
      </c>
      <c r="M672" t="n">
        <v>0</v>
      </c>
      <c r="N672" t="n">
        <v>0</v>
      </c>
      <c r="O672" t="n">
        <v>0</v>
      </c>
      <c r="P672" t="n">
        <v>0</v>
      </c>
      <c r="Q672" t="n">
        <v>0</v>
      </c>
      <c r="R672" s="2" t="inlineStr"/>
    </row>
    <row r="673" ht="15" customHeight="1">
      <c r="A673" t="inlineStr">
        <is>
          <t>A 26363-2022</t>
        </is>
      </c>
      <c r="B673" s="1" t="n">
        <v>44735</v>
      </c>
      <c r="C673" s="1" t="n">
        <v>45983</v>
      </c>
      <c r="D673" t="inlineStr">
        <is>
          <t>HALLANDS LÄN</t>
        </is>
      </c>
      <c r="E673" t="inlineStr">
        <is>
          <t>HYLTE</t>
        </is>
      </c>
      <c r="G673" t="n">
        <v>2</v>
      </c>
      <c r="H673" t="n">
        <v>0</v>
      </c>
      <c r="I673" t="n">
        <v>0</v>
      </c>
      <c r="J673" t="n">
        <v>0</v>
      </c>
      <c r="K673" t="n">
        <v>0</v>
      </c>
      <c r="L673" t="n">
        <v>0</v>
      </c>
      <c r="M673" t="n">
        <v>0</v>
      </c>
      <c r="N673" t="n">
        <v>0</v>
      </c>
      <c r="O673" t="n">
        <v>0</v>
      </c>
      <c r="P673" t="n">
        <v>0</v>
      </c>
      <c r="Q673" t="n">
        <v>0</v>
      </c>
      <c r="R673" s="2" t="inlineStr"/>
    </row>
    <row r="674" ht="15" customHeight="1">
      <c r="A674" t="inlineStr">
        <is>
          <t>A 14254-2022</t>
        </is>
      </c>
      <c r="B674" s="1" t="n">
        <v>44651.74671296297</v>
      </c>
      <c r="C674" s="1" t="n">
        <v>45983</v>
      </c>
      <c r="D674" t="inlineStr">
        <is>
          <t>HALLANDS LÄN</t>
        </is>
      </c>
      <c r="E674" t="inlineStr">
        <is>
          <t>HYLTE</t>
        </is>
      </c>
      <c r="G674" t="n">
        <v>2.2</v>
      </c>
      <c r="H674" t="n">
        <v>0</v>
      </c>
      <c r="I674" t="n">
        <v>0</v>
      </c>
      <c r="J674" t="n">
        <v>0</v>
      </c>
      <c r="K674" t="n">
        <v>0</v>
      </c>
      <c r="L674" t="n">
        <v>0</v>
      </c>
      <c r="M674" t="n">
        <v>0</v>
      </c>
      <c r="N674" t="n">
        <v>0</v>
      </c>
      <c r="O674" t="n">
        <v>0</v>
      </c>
      <c r="P674" t="n">
        <v>0</v>
      </c>
      <c r="Q674" t="n">
        <v>0</v>
      </c>
      <c r="R674" s="2" t="inlineStr"/>
    </row>
    <row r="675" ht="15" customHeight="1">
      <c r="A675" t="inlineStr">
        <is>
          <t>A 40165-2023</t>
        </is>
      </c>
      <c r="B675" s="1" t="n">
        <v>45169.38462962963</v>
      </c>
      <c r="C675" s="1" t="n">
        <v>45983</v>
      </c>
      <c r="D675" t="inlineStr">
        <is>
          <t>HALLANDS LÄN</t>
        </is>
      </c>
      <c r="E675" t="inlineStr">
        <is>
          <t>HYLTE</t>
        </is>
      </c>
      <c r="G675" t="n">
        <v>1.4</v>
      </c>
      <c r="H675" t="n">
        <v>0</v>
      </c>
      <c r="I675" t="n">
        <v>0</v>
      </c>
      <c r="J675" t="n">
        <v>0</v>
      </c>
      <c r="K675" t="n">
        <v>0</v>
      </c>
      <c r="L675" t="n">
        <v>0</v>
      </c>
      <c r="M675" t="n">
        <v>0</v>
      </c>
      <c r="N675" t="n">
        <v>0</v>
      </c>
      <c r="O675" t="n">
        <v>0</v>
      </c>
      <c r="P675" t="n">
        <v>0</v>
      </c>
      <c r="Q675" t="n">
        <v>0</v>
      </c>
      <c r="R675" s="2" t="inlineStr"/>
    </row>
    <row r="676" ht="15" customHeight="1">
      <c r="A676" t="inlineStr">
        <is>
          <t>A 3037-2024</t>
        </is>
      </c>
      <c r="B676" s="1" t="n">
        <v>45316</v>
      </c>
      <c r="C676" s="1" t="n">
        <v>45983</v>
      </c>
      <c r="D676" t="inlineStr">
        <is>
          <t>HALLANDS LÄN</t>
        </is>
      </c>
      <c r="E676" t="inlineStr">
        <is>
          <t>HYLTE</t>
        </is>
      </c>
      <c r="F676" t="inlineStr">
        <is>
          <t>Bergvik skog väst AB</t>
        </is>
      </c>
      <c r="G676" t="n">
        <v>4.3</v>
      </c>
      <c r="H676" t="n">
        <v>0</v>
      </c>
      <c r="I676" t="n">
        <v>0</v>
      </c>
      <c r="J676" t="n">
        <v>0</v>
      </c>
      <c r="K676" t="n">
        <v>0</v>
      </c>
      <c r="L676" t="n">
        <v>0</v>
      </c>
      <c r="M676" t="n">
        <v>0</v>
      </c>
      <c r="N676" t="n">
        <v>0</v>
      </c>
      <c r="O676" t="n">
        <v>0</v>
      </c>
      <c r="P676" t="n">
        <v>0</v>
      </c>
      <c r="Q676" t="n">
        <v>0</v>
      </c>
      <c r="R676" s="2" t="inlineStr"/>
    </row>
    <row r="677" ht="15" customHeight="1">
      <c r="A677" t="inlineStr">
        <is>
          <t>A 39634-2023</t>
        </is>
      </c>
      <c r="B677" s="1" t="n">
        <v>45167</v>
      </c>
      <c r="C677" s="1" t="n">
        <v>45983</v>
      </c>
      <c r="D677" t="inlineStr">
        <is>
          <t>HALLANDS LÄN</t>
        </is>
      </c>
      <c r="E677" t="inlineStr">
        <is>
          <t>HYLTE</t>
        </is>
      </c>
      <c r="G677" t="n">
        <v>2.2</v>
      </c>
      <c r="H677" t="n">
        <v>0</v>
      </c>
      <c r="I677" t="n">
        <v>0</v>
      </c>
      <c r="J677" t="n">
        <v>0</v>
      </c>
      <c r="K677" t="n">
        <v>0</v>
      </c>
      <c r="L677" t="n">
        <v>0</v>
      </c>
      <c r="M677" t="n">
        <v>0</v>
      </c>
      <c r="N677" t="n">
        <v>0</v>
      </c>
      <c r="O677" t="n">
        <v>0</v>
      </c>
      <c r="P677" t="n">
        <v>0</v>
      </c>
      <c r="Q677" t="n">
        <v>0</v>
      </c>
      <c r="R677" s="2" t="inlineStr"/>
    </row>
    <row r="678" ht="15" customHeight="1">
      <c r="A678" t="inlineStr">
        <is>
          <t>A 59624-2023</t>
        </is>
      </c>
      <c r="B678" s="1" t="n">
        <v>45254</v>
      </c>
      <c r="C678" s="1" t="n">
        <v>45983</v>
      </c>
      <c r="D678" t="inlineStr">
        <is>
          <t>HALLANDS LÄN</t>
        </is>
      </c>
      <c r="E678" t="inlineStr">
        <is>
          <t>HYLTE</t>
        </is>
      </c>
      <c r="G678" t="n">
        <v>0.8</v>
      </c>
      <c r="H678" t="n">
        <v>0</v>
      </c>
      <c r="I678" t="n">
        <v>0</v>
      </c>
      <c r="J678" t="n">
        <v>0</v>
      </c>
      <c r="K678" t="n">
        <v>0</v>
      </c>
      <c r="L678" t="n">
        <v>0</v>
      </c>
      <c r="M678" t="n">
        <v>0</v>
      </c>
      <c r="N678" t="n">
        <v>0</v>
      </c>
      <c r="O678" t="n">
        <v>0</v>
      </c>
      <c r="P678" t="n">
        <v>0</v>
      </c>
      <c r="Q678" t="n">
        <v>0</v>
      </c>
      <c r="R678" s="2" t="inlineStr"/>
    </row>
    <row r="679" ht="15" customHeight="1">
      <c r="A679" t="inlineStr">
        <is>
          <t>A 59628-2023</t>
        </is>
      </c>
      <c r="B679" s="1" t="n">
        <v>45254.67153935185</v>
      </c>
      <c r="C679" s="1" t="n">
        <v>45983</v>
      </c>
      <c r="D679" t="inlineStr">
        <is>
          <t>HALLANDS LÄN</t>
        </is>
      </c>
      <c r="E679" t="inlineStr">
        <is>
          <t>HYLTE</t>
        </is>
      </c>
      <c r="G679" t="n">
        <v>2</v>
      </c>
      <c r="H679" t="n">
        <v>0</v>
      </c>
      <c r="I679" t="n">
        <v>0</v>
      </c>
      <c r="J679" t="n">
        <v>0</v>
      </c>
      <c r="K679" t="n">
        <v>0</v>
      </c>
      <c r="L679" t="n">
        <v>0</v>
      </c>
      <c r="M679" t="n">
        <v>0</v>
      </c>
      <c r="N679" t="n">
        <v>0</v>
      </c>
      <c r="O679" t="n">
        <v>0</v>
      </c>
      <c r="P679" t="n">
        <v>0</v>
      </c>
      <c r="Q679" t="n">
        <v>0</v>
      </c>
      <c r="R679" s="2" t="inlineStr"/>
    </row>
    <row r="680" ht="15" customHeight="1">
      <c r="A680" t="inlineStr">
        <is>
          <t>A 57291-2023</t>
        </is>
      </c>
      <c r="B680" s="1" t="n">
        <v>45245.6053587963</v>
      </c>
      <c r="C680" s="1" t="n">
        <v>45983</v>
      </c>
      <c r="D680" t="inlineStr">
        <is>
          <t>HALLANDS LÄN</t>
        </is>
      </c>
      <c r="E680" t="inlineStr">
        <is>
          <t>HYLTE</t>
        </is>
      </c>
      <c r="G680" t="n">
        <v>1.7</v>
      </c>
      <c r="H680" t="n">
        <v>0</v>
      </c>
      <c r="I680" t="n">
        <v>0</v>
      </c>
      <c r="J680" t="n">
        <v>0</v>
      </c>
      <c r="K680" t="n">
        <v>0</v>
      </c>
      <c r="L680" t="n">
        <v>0</v>
      </c>
      <c r="M680" t="n">
        <v>0</v>
      </c>
      <c r="N680" t="n">
        <v>0</v>
      </c>
      <c r="O680" t="n">
        <v>0</v>
      </c>
      <c r="P680" t="n">
        <v>0</v>
      </c>
      <c r="Q680" t="n">
        <v>0</v>
      </c>
      <c r="R680" s="2" t="inlineStr"/>
    </row>
    <row r="681" ht="15" customHeight="1">
      <c r="A681" t="inlineStr">
        <is>
          <t>A 15059-2021</t>
        </is>
      </c>
      <c r="B681" s="1" t="n">
        <v>44281.63407407407</v>
      </c>
      <c r="C681" s="1" t="n">
        <v>45983</v>
      </c>
      <c r="D681" t="inlineStr">
        <is>
          <t>HALLANDS LÄN</t>
        </is>
      </c>
      <c r="E681" t="inlineStr">
        <is>
          <t>HYLTE</t>
        </is>
      </c>
      <c r="G681" t="n">
        <v>0.4</v>
      </c>
      <c r="H681" t="n">
        <v>0</v>
      </c>
      <c r="I681" t="n">
        <v>0</v>
      </c>
      <c r="J681" t="n">
        <v>0</v>
      </c>
      <c r="K681" t="n">
        <v>0</v>
      </c>
      <c r="L681" t="n">
        <v>0</v>
      </c>
      <c r="M681" t="n">
        <v>0</v>
      </c>
      <c r="N681" t="n">
        <v>0</v>
      </c>
      <c r="O681" t="n">
        <v>0</v>
      </c>
      <c r="P681" t="n">
        <v>0</v>
      </c>
      <c r="Q681" t="n">
        <v>0</v>
      </c>
      <c r="R681" s="2" t="inlineStr"/>
    </row>
    <row r="682" ht="15" customHeight="1">
      <c r="A682" t="inlineStr">
        <is>
          <t>A 32050-2022</t>
        </is>
      </c>
      <c r="B682" s="1" t="n">
        <v>44778</v>
      </c>
      <c r="C682" s="1" t="n">
        <v>45983</v>
      </c>
      <c r="D682" t="inlineStr">
        <is>
          <t>HALLANDS LÄN</t>
        </is>
      </c>
      <c r="E682" t="inlineStr">
        <is>
          <t>HYLTE</t>
        </is>
      </c>
      <c r="G682" t="n">
        <v>1.1</v>
      </c>
      <c r="H682" t="n">
        <v>0</v>
      </c>
      <c r="I682" t="n">
        <v>0</v>
      </c>
      <c r="J682" t="n">
        <v>0</v>
      </c>
      <c r="K682" t="n">
        <v>0</v>
      </c>
      <c r="L682" t="n">
        <v>0</v>
      </c>
      <c r="M682" t="n">
        <v>0</v>
      </c>
      <c r="N682" t="n">
        <v>0</v>
      </c>
      <c r="O682" t="n">
        <v>0</v>
      </c>
      <c r="P682" t="n">
        <v>0</v>
      </c>
      <c r="Q682" t="n">
        <v>0</v>
      </c>
      <c r="R682" s="2" t="inlineStr"/>
    </row>
    <row r="683" ht="15" customHeight="1">
      <c r="A683" t="inlineStr">
        <is>
          <t>A 46253-2022</t>
        </is>
      </c>
      <c r="B683" s="1" t="n">
        <v>44847</v>
      </c>
      <c r="C683" s="1" t="n">
        <v>45983</v>
      </c>
      <c r="D683" t="inlineStr">
        <is>
          <t>HALLANDS LÄN</t>
        </is>
      </c>
      <c r="E683" t="inlineStr">
        <is>
          <t>HYLTE</t>
        </is>
      </c>
      <c r="G683" t="n">
        <v>4.6</v>
      </c>
      <c r="H683" t="n">
        <v>0</v>
      </c>
      <c r="I683" t="n">
        <v>0</v>
      </c>
      <c r="J683" t="n">
        <v>0</v>
      </c>
      <c r="K683" t="n">
        <v>0</v>
      </c>
      <c r="L683" t="n">
        <v>0</v>
      </c>
      <c r="M683" t="n">
        <v>0</v>
      </c>
      <c r="N683" t="n">
        <v>0</v>
      </c>
      <c r="O683" t="n">
        <v>0</v>
      </c>
      <c r="P683" t="n">
        <v>0</v>
      </c>
      <c r="Q683" t="n">
        <v>0</v>
      </c>
      <c r="R683" s="2" t="inlineStr"/>
    </row>
    <row r="684" ht="15" customHeight="1">
      <c r="A684" t="inlineStr">
        <is>
          <t>A 35567-2024</t>
        </is>
      </c>
      <c r="B684" s="1" t="n">
        <v>45531.63407407407</v>
      </c>
      <c r="C684" s="1" t="n">
        <v>45983</v>
      </c>
      <c r="D684" t="inlineStr">
        <is>
          <t>HALLANDS LÄN</t>
        </is>
      </c>
      <c r="E684" t="inlineStr">
        <is>
          <t>HYLTE</t>
        </is>
      </c>
      <c r="G684" t="n">
        <v>6.8</v>
      </c>
      <c r="H684" t="n">
        <v>0</v>
      </c>
      <c r="I684" t="n">
        <v>0</v>
      </c>
      <c r="J684" t="n">
        <v>0</v>
      </c>
      <c r="K684" t="n">
        <v>0</v>
      </c>
      <c r="L684" t="n">
        <v>0</v>
      </c>
      <c r="M684" t="n">
        <v>0</v>
      </c>
      <c r="N684" t="n">
        <v>0</v>
      </c>
      <c r="O684" t="n">
        <v>0</v>
      </c>
      <c r="P684" t="n">
        <v>0</v>
      </c>
      <c r="Q684" t="n">
        <v>0</v>
      </c>
      <c r="R684" s="2" t="inlineStr"/>
    </row>
    <row r="685" ht="15" customHeight="1">
      <c r="A685" t="inlineStr">
        <is>
          <t>A 19659-2022</t>
        </is>
      </c>
      <c r="B685" s="1" t="n">
        <v>44694.42996527778</v>
      </c>
      <c r="C685" s="1" t="n">
        <v>45983</v>
      </c>
      <c r="D685" t="inlineStr">
        <is>
          <t>HALLANDS LÄN</t>
        </is>
      </c>
      <c r="E685" t="inlineStr">
        <is>
          <t>HYLTE</t>
        </is>
      </c>
      <c r="G685" t="n">
        <v>4</v>
      </c>
      <c r="H685" t="n">
        <v>0</v>
      </c>
      <c r="I685" t="n">
        <v>0</v>
      </c>
      <c r="J685" t="n">
        <v>0</v>
      </c>
      <c r="K685" t="n">
        <v>0</v>
      </c>
      <c r="L685" t="n">
        <v>0</v>
      </c>
      <c r="M685" t="n">
        <v>0</v>
      </c>
      <c r="N685" t="n">
        <v>0</v>
      </c>
      <c r="O685" t="n">
        <v>0</v>
      </c>
      <c r="P685" t="n">
        <v>0</v>
      </c>
      <c r="Q685" t="n">
        <v>0</v>
      </c>
      <c r="R685" s="2" t="inlineStr"/>
    </row>
    <row r="686" ht="15" customHeight="1">
      <c r="A686" t="inlineStr">
        <is>
          <t>A 57261-2023</t>
        </is>
      </c>
      <c r="B686" s="1" t="n">
        <v>45245.57619212963</v>
      </c>
      <c r="C686" s="1" t="n">
        <v>45983</v>
      </c>
      <c r="D686" t="inlineStr">
        <is>
          <t>HALLANDS LÄN</t>
        </is>
      </c>
      <c r="E686" t="inlineStr">
        <is>
          <t>HYLTE</t>
        </is>
      </c>
      <c r="G686" t="n">
        <v>1.4</v>
      </c>
      <c r="H686" t="n">
        <v>0</v>
      </c>
      <c r="I686" t="n">
        <v>0</v>
      </c>
      <c r="J686" t="n">
        <v>0</v>
      </c>
      <c r="K686" t="n">
        <v>0</v>
      </c>
      <c r="L686" t="n">
        <v>0</v>
      </c>
      <c r="M686" t="n">
        <v>0</v>
      </c>
      <c r="N686" t="n">
        <v>0</v>
      </c>
      <c r="O686" t="n">
        <v>0</v>
      </c>
      <c r="P686" t="n">
        <v>0</v>
      </c>
      <c r="Q686" t="n">
        <v>0</v>
      </c>
      <c r="R686" s="2" t="inlineStr"/>
    </row>
    <row r="687" ht="15" customHeight="1">
      <c r="A687" t="inlineStr">
        <is>
          <t>A 27505-2023</t>
        </is>
      </c>
      <c r="B687" s="1" t="n">
        <v>45092</v>
      </c>
      <c r="C687" s="1" t="n">
        <v>45983</v>
      </c>
      <c r="D687" t="inlineStr">
        <is>
          <t>HALLANDS LÄN</t>
        </is>
      </c>
      <c r="E687" t="inlineStr">
        <is>
          <t>HYLTE</t>
        </is>
      </c>
      <c r="G687" t="n">
        <v>2.5</v>
      </c>
      <c r="H687" t="n">
        <v>0</v>
      </c>
      <c r="I687" t="n">
        <v>0</v>
      </c>
      <c r="J687" t="n">
        <v>0</v>
      </c>
      <c r="K687" t="n">
        <v>0</v>
      </c>
      <c r="L687" t="n">
        <v>0</v>
      </c>
      <c r="M687" t="n">
        <v>0</v>
      </c>
      <c r="N687" t="n">
        <v>0</v>
      </c>
      <c r="O687" t="n">
        <v>0</v>
      </c>
      <c r="P687" t="n">
        <v>0</v>
      </c>
      <c r="Q687" t="n">
        <v>0</v>
      </c>
      <c r="R687" s="2" t="inlineStr"/>
    </row>
    <row r="688" ht="15" customHeight="1">
      <c r="A688" t="inlineStr">
        <is>
          <t>A 19629-2023</t>
        </is>
      </c>
      <c r="B688" s="1" t="n">
        <v>45051.01875</v>
      </c>
      <c r="C688" s="1" t="n">
        <v>45983</v>
      </c>
      <c r="D688" t="inlineStr">
        <is>
          <t>HALLANDS LÄN</t>
        </is>
      </c>
      <c r="E688" t="inlineStr">
        <is>
          <t>HYLTE</t>
        </is>
      </c>
      <c r="G688" t="n">
        <v>2</v>
      </c>
      <c r="H688" t="n">
        <v>0</v>
      </c>
      <c r="I688" t="n">
        <v>0</v>
      </c>
      <c r="J688" t="n">
        <v>0</v>
      </c>
      <c r="K688" t="n">
        <v>0</v>
      </c>
      <c r="L688" t="n">
        <v>0</v>
      </c>
      <c r="M688" t="n">
        <v>0</v>
      </c>
      <c r="N688" t="n">
        <v>0</v>
      </c>
      <c r="O688" t="n">
        <v>0</v>
      </c>
      <c r="P688" t="n">
        <v>0</v>
      </c>
      <c r="Q688" t="n">
        <v>0</v>
      </c>
      <c r="R688" s="2" t="inlineStr"/>
    </row>
    <row r="689" ht="15" customHeight="1">
      <c r="A689" t="inlineStr">
        <is>
          <t>A 27751-2023</t>
        </is>
      </c>
      <c r="B689" s="1" t="n">
        <v>45098.38493055556</v>
      </c>
      <c r="C689" s="1" t="n">
        <v>45983</v>
      </c>
      <c r="D689" t="inlineStr">
        <is>
          <t>HALLANDS LÄN</t>
        </is>
      </c>
      <c r="E689" t="inlineStr">
        <is>
          <t>HYLTE</t>
        </is>
      </c>
      <c r="F689" t="inlineStr">
        <is>
          <t>Bergvik skog väst AB</t>
        </is>
      </c>
      <c r="G689" t="n">
        <v>2.5</v>
      </c>
      <c r="H689" t="n">
        <v>0</v>
      </c>
      <c r="I689" t="n">
        <v>0</v>
      </c>
      <c r="J689" t="n">
        <v>0</v>
      </c>
      <c r="K689" t="n">
        <v>0</v>
      </c>
      <c r="L689" t="n">
        <v>0</v>
      </c>
      <c r="M689" t="n">
        <v>0</v>
      </c>
      <c r="N689" t="n">
        <v>0</v>
      </c>
      <c r="O689" t="n">
        <v>0</v>
      </c>
      <c r="P689" t="n">
        <v>0</v>
      </c>
      <c r="Q689" t="n">
        <v>0</v>
      </c>
      <c r="R689" s="2" t="inlineStr"/>
    </row>
    <row r="690" ht="15" customHeight="1">
      <c r="A690" t="inlineStr">
        <is>
          <t>A 8122-2024</t>
        </is>
      </c>
      <c r="B690" s="1" t="n">
        <v>45351.51993055556</v>
      </c>
      <c r="C690" s="1" t="n">
        <v>45983</v>
      </c>
      <c r="D690" t="inlineStr">
        <is>
          <t>HALLANDS LÄN</t>
        </is>
      </c>
      <c r="E690" t="inlineStr">
        <is>
          <t>HYLTE</t>
        </is>
      </c>
      <c r="G690" t="n">
        <v>1.2</v>
      </c>
      <c r="H690" t="n">
        <v>0</v>
      </c>
      <c r="I690" t="n">
        <v>0</v>
      </c>
      <c r="J690" t="n">
        <v>0</v>
      </c>
      <c r="K690" t="n">
        <v>0</v>
      </c>
      <c r="L690" t="n">
        <v>0</v>
      </c>
      <c r="M690" t="n">
        <v>0</v>
      </c>
      <c r="N690" t="n">
        <v>0</v>
      </c>
      <c r="O690" t="n">
        <v>0</v>
      </c>
      <c r="P690" t="n">
        <v>0</v>
      </c>
      <c r="Q690" t="n">
        <v>0</v>
      </c>
      <c r="R690" s="2" t="inlineStr"/>
    </row>
    <row r="691" ht="15" customHeight="1">
      <c r="A691" t="inlineStr">
        <is>
          <t>A 35117-2022</t>
        </is>
      </c>
      <c r="B691" s="1" t="n">
        <v>44797.45368055555</v>
      </c>
      <c r="C691" s="1" t="n">
        <v>45983</v>
      </c>
      <c r="D691" t="inlineStr">
        <is>
          <t>HALLANDS LÄN</t>
        </is>
      </c>
      <c r="E691" t="inlineStr">
        <is>
          <t>HYLTE</t>
        </is>
      </c>
      <c r="G691" t="n">
        <v>0.6</v>
      </c>
      <c r="H691" t="n">
        <v>0</v>
      </c>
      <c r="I691" t="n">
        <v>0</v>
      </c>
      <c r="J691" t="n">
        <v>0</v>
      </c>
      <c r="K691" t="n">
        <v>0</v>
      </c>
      <c r="L691" t="n">
        <v>0</v>
      </c>
      <c r="M691" t="n">
        <v>0</v>
      </c>
      <c r="N691" t="n">
        <v>0</v>
      </c>
      <c r="O691" t="n">
        <v>0</v>
      </c>
      <c r="P691" t="n">
        <v>0</v>
      </c>
      <c r="Q691" t="n">
        <v>0</v>
      </c>
      <c r="R691" s="2" t="inlineStr"/>
    </row>
    <row r="692" ht="15" customHeight="1">
      <c r="A692" t="inlineStr">
        <is>
          <t>A 23922-2021</t>
        </is>
      </c>
      <c r="B692" s="1" t="n">
        <v>44335</v>
      </c>
      <c r="C692" s="1" t="n">
        <v>45983</v>
      </c>
      <c r="D692" t="inlineStr">
        <is>
          <t>HALLANDS LÄN</t>
        </is>
      </c>
      <c r="E692" t="inlineStr">
        <is>
          <t>HYLTE</t>
        </is>
      </c>
      <c r="G692" t="n">
        <v>1</v>
      </c>
      <c r="H692" t="n">
        <v>0</v>
      </c>
      <c r="I692" t="n">
        <v>0</v>
      </c>
      <c r="J692" t="n">
        <v>0</v>
      </c>
      <c r="K692" t="n">
        <v>0</v>
      </c>
      <c r="L692" t="n">
        <v>0</v>
      </c>
      <c r="M692" t="n">
        <v>0</v>
      </c>
      <c r="N692" t="n">
        <v>0</v>
      </c>
      <c r="O692" t="n">
        <v>0</v>
      </c>
      <c r="P692" t="n">
        <v>0</v>
      </c>
      <c r="Q692" t="n">
        <v>0</v>
      </c>
      <c r="R692" s="2" t="inlineStr"/>
    </row>
    <row r="693" ht="15" customHeight="1">
      <c r="A693" t="inlineStr">
        <is>
          <t>A 62159-2023</t>
        </is>
      </c>
      <c r="B693" s="1" t="n">
        <v>45267.39920138889</v>
      </c>
      <c r="C693" s="1" t="n">
        <v>45983</v>
      </c>
      <c r="D693" t="inlineStr">
        <is>
          <t>HALLANDS LÄN</t>
        </is>
      </c>
      <c r="E693" t="inlineStr">
        <is>
          <t>HYLTE</t>
        </is>
      </c>
      <c r="G693" t="n">
        <v>3.2</v>
      </c>
      <c r="H693" t="n">
        <v>0</v>
      </c>
      <c r="I693" t="n">
        <v>0</v>
      </c>
      <c r="J693" t="n">
        <v>0</v>
      </c>
      <c r="K693" t="n">
        <v>0</v>
      </c>
      <c r="L693" t="n">
        <v>0</v>
      </c>
      <c r="M693" t="n">
        <v>0</v>
      </c>
      <c r="N693" t="n">
        <v>0</v>
      </c>
      <c r="O693" t="n">
        <v>0</v>
      </c>
      <c r="P693" t="n">
        <v>0</v>
      </c>
      <c r="Q693" t="n">
        <v>0</v>
      </c>
      <c r="R693" s="2" t="inlineStr"/>
    </row>
    <row r="694" ht="15" customHeight="1">
      <c r="A694" t="inlineStr">
        <is>
          <t>A 8091-2023</t>
        </is>
      </c>
      <c r="B694" s="1" t="n">
        <v>44974.38300925926</v>
      </c>
      <c r="C694" s="1" t="n">
        <v>45983</v>
      </c>
      <c r="D694" t="inlineStr">
        <is>
          <t>HALLANDS LÄN</t>
        </is>
      </c>
      <c r="E694" t="inlineStr">
        <is>
          <t>HYLTE</t>
        </is>
      </c>
      <c r="G694" t="n">
        <v>0.6</v>
      </c>
      <c r="H694" t="n">
        <v>0</v>
      </c>
      <c r="I694" t="n">
        <v>0</v>
      </c>
      <c r="J694" t="n">
        <v>0</v>
      </c>
      <c r="K694" t="n">
        <v>0</v>
      </c>
      <c r="L694" t="n">
        <v>0</v>
      </c>
      <c r="M694" t="n">
        <v>0</v>
      </c>
      <c r="N694" t="n">
        <v>0</v>
      </c>
      <c r="O694" t="n">
        <v>0</v>
      </c>
      <c r="P694" t="n">
        <v>0</v>
      </c>
      <c r="Q694" t="n">
        <v>0</v>
      </c>
      <c r="R694" s="2" t="inlineStr"/>
    </row>
    <row r="695" ht="15" customHeight="1">
      <c r="A695" t="inlineStr">
        <is>
          <t>A 7679-2024</t>
        </is>
      </c>
      <c r="B695" s="1" t="n">
        <v>45348</v>
      </c>
      <c r="C695" s="1" t="n">
        <v>45983</v>
      </c>
      <c r="D695" t="inlineStr">
        <is>
          <t>HALLANDS LÄN</t>
        </is>
      </c>
      <c r="E695" t="inlineStr">
        <is>
          <t>HYLTE</t>
        </is>
      </c>
      <c r="G695" t="n">
        <v>0.8</v>
      </c>
      <c r="H695" t="n">
        <v>0</v>
      </c>
      <c r="I695" t="n">
        <v>0</v>
      </c>
      <c r="J695" t="n">
        <v>0</v>
      </c>
      <c r="K695" t="n">
        <v>0</v>
      </c>
      <c r="L695" t="n">
        <v>0</v>
      </c>
      <c r="M695" t="n">
        <v>0</v>
      </c>
      <c r="N695" t="n">
        <v>0</v>
      </c>
      <c r="O695" t="n">
        <v>0</v>
      </c>
      <c r="P695" t="n">
        <v>0</v>
      </c>
      <c r="Q695" t="n">
        <v>0</v>
      </c>
      <c r="R695" s="2" t="inlineStr"/>
    </row>
    <row r="696" ht="15" customHeight="1">
      <c r="A696" t="inlineStr">
        <is>
          <t>A 74307-2021</t>
        </is>
      </c>
      <c r="B696" s="1" t="n">
        <v>44559</v>
      </c>
      <c r="C696" s="1" t="n">
        <v>45983</v>
      </c>
      <c r="D696" t="inlineStr">
        <is>
          <t>HALLANDS LÄN</t>
        </is>
      </c>
      <c r="E696" t="inlineStr">
        <is>
          <t>HYLTE</t>
        </is>
      </c>
      <c r="G696" t="n">
        <v>1.5</v>
      </c>
      <c r="H696" t="n">
        <v>0</v>
      </c>
      <c r="I696" t="n">
        <v>0</v>
      </c>
      <c r="J696" t="n">
        <v>0</v>
      </c>
      <c r="K696" t="n">
        <v>0</v>
      </c>
      <c r="L696" t="n">
        <v>0</v>
      </c>
      <c r="M696" t="n">
        <v>0</v>
      </c>
      <c r="N696" t="n">
        <v>0</v>
      </c>
      <c r="O696" t="n">
        <v>0</v>
      </c>
      <c r="P696" t="n">
        <v>0</v>
      </c>
      <c r="Q696" t="n">
        <v>0</v>
      </c>
      <c r="R696" s="2" t="inlineStr"/>
    </row>
    <row r="697" ht="15" customHeight="1">
      <c r="A697" t="inlineStr">
        <is>
          <t>A 16960-2025</t>
        </is>
      </c>
      <c r="B697" s="1" t="n">
        <v>45752</v>
      </c>
      <c r="C697" s="1" t="n">
        <v>45983</v>
      </c>
      <c r="D697" t="inlineStr">
        <is>
          <t>HALLANDS LÄN</t>
        </is>
      </c>
      <c r="E697" t="inlineStr">
        <is>
          <t>HYLTE</t>
        </is>
      </c>
      <c r="F697" t="inlineStr">
        <is>
          <t>Kyrkan</t>
        </is>
      </c>
      <c r="G697" t="n">
        <v>3</v>
      </c>
      <c r="H697" t="n">
        <v>0</v>
      </c>
      <c r="I697" t="n">
        <v>0</v>
      </c>
      <c r="J697" t="n">
        <v>0</v>
      </c>
      <c r="K697" t="n">
        <v>0</v>
      </c>
      <c r="L697" t="n">
        <v>0</v>
      </c>
      <c r="M697" t="n">
        <v>0</v>
      </c>
      <c r="N697" t="n">
        <v>0</v>
      </c>
      <c r="O697" t="n">
        <v>0</v>
      </c>
      <c r="P697" t="n">
        <v>0</v>
      </c>
      <c r="Q697" t="n">
        <v>0</v>
      </c>
      <c r="R697" s="2" t="inlineStr"/>
    </row>
    <row r="698" ht="15" customHeight="1">
      <c r="A698" t="inlineStr">
        <is>
          <t>A 56580-2022</t>
        </is>
      </c>
      <c r="B698" s="1" t="n">
        <v>44893.54849537037</v>
      </c>
      <c r="C698" s="1" t="n">
        <v>45983</v>
      </c>
      <c r="D698" t="inlineStr">
        <is>
          <t>HALLANDS LÄN</t>
        </is>
      </c>
      <c r="E698" t="inlineStr">
        <is>
          <t>HYLTE</t>
        </is>
      </c>
      <c r="G698" t="n">
        <v>1.9</v>
      </c>
      <c r="H698" t="n">
        <v>0</v>
      </c>
      <c r="I698" t="n">
        <v>0</v>
      </c>
      <c r="J698" t="n">
        <v>0</v>
      </c>
      <c r="K698" t="n">
        <v>0</v>
      </c>
      <c r="L698" t="n">
        <v>0</v>
      </c>
      <c r="M698" t="n">
        <v>0</v>
      </c>
      <c r="N698" t="n">
        <v>0</v>
      </c>
      <c r="O698" t="n">
        <v>0</v>
      </c>
      <c r="P698" t="n">
        <v>0</v>
      </c>
      <c r="Q698" t="n">
        <v>0</v>
      </c>
      <c r="R698" s="2" t="inlineStr"/>
    </row>
    <row r="699" ht="15" customHeight="1">
      <c r="A699" t="inlineStr">
        <is>
          <t>A 23833-2024</t>
        </is>
      </c>
      <c r="B699" s="1" t="n">
        <v>45455.49011574074</v>
      </c>
      <c r="C699" s="1" t="n">
        <v>45983</v>
      </c>
      <c r="D699" t="inlineStr">
        <is>
          <t>HALLANDS LÄN</t>
        </is>
      </c>
      <c r="E699" t="inlineStr">
        <is>
          <t>HYLTE</t>
        </is>
      </c>
      <c r="G699" t="n">
        <v>3.8</v>
      </c>
      <c r="H699" t="n">
        <v>0</v>
      </c>
      <c r="I699" t="n">
        <v>0</v>
      </c>
      <c r="J699" t="n">
        <v>0</v>
      </c>
      <c r="K699" t="n">
        <v>0</v>
      </c>
      <c r="L699" t="n">
        <v>0</v>
      </c>
      <c r="M699" t="n">
        <v>0</v>
      </c>
      <c r="N699" t="n">
        <v>0</v>
      </c>
      <c r="O699" t="n">
        <v>0</v>
      </c>
      <c r="P699" t="n">
        <v>0</v>
      </c>
      <c r="Q699" t="n">
        <v>0</v>
      </c>
      <c r="R699" s="2" t="inlineStr"/>
    </row>
    <row r="700" ht="15" customHeight="1">
      <c r="A700" t="inlineStr">
        <is>
          <t>A 28803-2023</t>
        </is>
      </c>
      <c r="B700" s="1" t="n">
        <v>45104.36805555555</v>
      </c>
      <c r="C700" s="1" t="n">
        <v>45983</v>
      </c>
      <c r="D700" t="inlineStr">
        <is>
          <t>HALLANDS LÄN</t>
        </is>
      </c>
      <c r="E700" t="inlineStr">
        <is>
          <t>HYLTE</t>
        </is>
      </c>
      <c r="G700" t="n">
        <v>4.1</v>
      </c>
      <c r="H700" t="n">
        <v>0</v>
      </c>
      <c r="I700" t="n">
        <v>0</v>
      </c>
      <c r="J700" t="n">
        <v>0</v>
      </c>
      <c r="K700" t="n">
        <v>0</v>
      </c>
      <c r="L700" t="n">
        <v>0</v>
      </c>
      <c r="M700" t="n">
        <v>0</v>
      </c>
      <c r="N700" t="n">
        <v>0</v>
      </c>
      <c r="O700" t="n">
        <v>0</v>
      </c>
      <c r="P700" t="n">
        <v>0</v>
      </c>
      <c r="Q700" t="n">
        <v>0</v>
      </c>
      <c r="R700" s="2" t="inlineStr"/>
    </row>
    <row r="701" ht="15" customHeight="1">
      <c r="A701" t="inlineStr">
        <is>
          <t>A 5699-2024</t>
        </is>
      </c>
      <c r="B701" s="1" t="n">
        <v>45334.75275462963</v>
      </c>
      <c r="C701" s="1" t="n">
        <v>45983</v>
      </c>
      <c r="D701" t="inlineStr">
        <is>
          <t>HALLANDS LÄN</t>
        </is>
      </c>
      <c r="E701" t="inlineStr">
        <is>
          <t>HYLTE</t>
        </is>
      </c>
      <c r="G701" t="n">
        <v>0.6</v>
      </c>
      <c r="H701" t="n">
        <v>0</v>
      </c>
      <c r="I701" t="n">
        <v>0</v>
      </c>
      <c r="J701" t="n">
        <v>0</v>
      </c>
      <c r="K701" t="n">
        <v>0</v>
      </c>
      <c r="L701" t="n">
        <v>0</v>
      </c>
      <c r="M701" t="n">
        <v>0</v>
      </c>
      <c r="N701" t="n">
        <v>0</v>
      </c>
      <c r="O701" t="n">
        <v>0</v>
      </c>
      <c r="P701" t="n">
        <v>0</v>
      </c>
      <c r="Q701" t="n">
        <v>0</v>
      </c>
      <c r="R701" s="2" t="inlineStr"/>
    </row>
    <row r="702" ht="15" customHeight="1">
      <c r="A702" t="inlineStr">
        <is>
          <t>A 61299-2024</t>
        </is>
      </c>
      <c r="B702" s="1" t="n">
        <v>45645.89479166667</v>
      </c>
      <c r="C702" s="1" t="n">
        <v>45983</v>
      </c>
      <c r="D702" t="inlineStr">
        <is>
          <t>HALLANDS LÄN</t>
        </is>
      </c>
      <c r="E702" t="inlineStr">
        <is>
          <t>HYLTE</t>
        </is>
      </c>
      <c r="F702" t="inlineStr">
        <is>
          <t>Kyrkan</t>
        </is>
      </c>
      <c r="G702" t="n">
        <v>3.4</v>
      </c>
      <c r="H702" t="n">
        <v>0</v>
      </c>
      <c r="I702" t="n">
        <v>0</v>
      </c>
      <c r="J702" t="n">
        <v>0</v>
      </c>
      <c r="K702" t="n">
        <v>0</v>
      </c>
      <c r="L702" t="n">
        <v>0</v>
      </c>
      <c r="M702" t="n">
        <v>0</v>
      </c>
      <c r="N702" t="n">
        <v>0</v>
      </c>
      <c r="O702" t="n">
        <v>0</v>
      </c>
      <c r="P702" t="n">
        <v>0</v>
      </c>
      <c r="Q702" t="n">
        <v>0</v>
      </c>
      <c r="R702" s="2" t="inlineStr"/>
    </row>
    <row r="703" ht="15" customHeight="1">
      <c r="A703" t="inlineStr">
        <is>
          <t>A 8318-2024</t>
        </is>
      </c>
      <c r="B703" s="1" t="n">
        <v>45352.46850694445</v>
      </c>
      <c r="C703" s="1" t="n">
        <v>45983</v>
      </c>
      <c r="D703" t="inlineStr">
        <is>
          <t>HALLANDS LÄN</t>
        </is>
      </c>
      <c r="E703" t="inlineStr">
        <is>
          <t>HYLTE</t>
        </is>
      </c>
      <c r="G703" t="n">
        <v>0.6</v>
      </c>
      <c r="H703" t="n">
        <v>0</v>
      </c>
      <c r="I703" t="n">
        <v>0</v>
      </c>
      <c r="J703" t="n">
        <v>0</v>
      </c>
      <c r="K703" t="n">
        <v>0</v>
      </c>
      <c r="L703" t="n">
        <v>0</v>
      </c>
      <c r="M703" t="n">
        <v>0</v>
      </c>
      <c r="N703" t="n">
        <v>0</v>
      </c>
      <c r="O703" t="n">
        <v>0</v>
      </c>
      <c r="P703" t="n">
        <v>0</v>
      </c>
      <c r="Q703" t="n">
        <v>0</v>
      </c>
      <c r="R703" s="2" t="inlineStr"/>
    </row>
    <row r="704" ht="15" customHeight="1">
      <c r="A704" t="inlineStr">
        <is>
          <t>A 9610-2025</t>
        </is>
      </c>
      <c r="B704" s="1" t="n">
        <v>45715.65719907408</v>
      </c>
      <c r="C704" s="1" t="n">
        <v>45983</v>
      </c>
      <c r="D704" t="inlineStr">
        <is>
          <t>HALLANDS LÄN</t>
        </is>
      </c>
      <c r="E704" t="inlineStr">
        <is>
          <t>HYLTE</t>
        </is>
      </c>
      <c r="G704" t="n">
        <v>0.9</v>
      </c>
      <c r="H704" t="n">
        <v>0</v>
      </c>
      <c r="I704" t="n">
        <v>0</v>
      </c>
      <c r="J704" t="n">
        <v>0</v>
      </c>
      <c r="K704" t="n">
        <v>0</v>
      </c>
      <c r="L704" t="n">
        <v>0</v>
      </c>
      <c r="M704" t="n">
        <v>0</v>
      </c>
      <c r="N704" t="n">
        <v>0</v>
      </c>
      <c r="O704" t="n">
        <v>0</v>
      </c>
      <c r="P704" t="n">
        <v>0</v>
      </c>
      <c r="Q704" t="n">
        <v>0</v>
      </c>
      <c r="R704" s="2" t="inlineStr"/>
    </row>
    <row r="705" ht="15" customHeight="1">
      <c r="A705" t="inlineStr">
        <is>
          <t>A 3126-2024</t>
        </is>
      </c>
      <c r="B705" s="1" t="n">
        <v>45316.52122685185</v>
      </c>
      <c r="C705" s="1" t="n">
        <v>45983</v>
      </c>
      <c r="D705" t="inlineStr">
        <is>
          <t>HALLANDS LÄN</t>
        </is>
      </c>
      <c r="E705" t="inlineStr">
        <is>
          <t>HYLTE</t>
        </is>
      </c>
      <c r="G705" t="n">
        <v>1.1</v>
      </c>
      <c r="H705" t="n">
        <v>0</v>
      </c>
      <c r="I705" t="n">
        <v>0</v>
      </c>
      <c r="J705" t="n">
        <v>0</v>
      </c>
      <c r="K705" t="n">
        <v>0</v>
      </c>
      <c r="L705" t="n">
        <v>0</v>
      </c>
      <c r="M705" t="n">
        <v>0</v>
      </c>
      <c r="N705" t="n">
        <v>0</v>
      </c>
      <c r="O705" t="n">
        <v>0</v>
      </c>
      <c r="P705" t="n">
        <v>0</v>
      </c>
      <c r="Q705" t="n">
        <v>0</v>
      </c>
      <c r="R705" s="2" t="inlineStr"/>
    </row>
    <row r="706" ht="15" customHeight="1">
      <c r="A706" t="inlineStr">
        <is>
          <t>A 34899-2022</t>
        </is>
      </c>
      <c r="B706" s="1" t="n">
        <v>44796.5582175926</v>
      </c>
      <c r="C706" s="1" t="n">
        <v>45983</v>
      </c>
      <c r="D706" t="inlineStr">
        <is>
          <t>HALLANDS LÄN</t>
        </is>
      </c>
      <c r="E706" t="inlineStr">
        <is>
          <t>HYLTE</t>
        </is>
      </c>
      <c r="G706" t="n">
        <v>1.9</v>
      </c>
      <c r="H706" t="n">
        <v>0</v>
      </c>
      <c r="I706" t="n">
        <v>0</v>
      </c>
      <c r="J706" t="n">
        <v>0</v>
      </c>
      <c r="K706" t="n">
        <v>0</v>
      </c>
      <c r="L706" t="n">
        <v>0</v>
      </c>
      <c r="M706" t="n">
        <v>0</v>
      </c>
      <c r="N706" t="n">
        <v>0</v>
      </c>
      <c r="O706" t="n">
        <v>0</v>
      </c>
      <c r="P706" t="n">
        <v>0</v>
      </c>
      <c r="Q706" t="n">
        <v>0</v>
      </c>
      <c r="R706" s="2" t="inlineStr"/>
    </row>
    <row r="707" ht="15" customHeight="1">
      <c r="A707" t="inlineStr">
        <is>
          <t>A 58221-2022</t>
        </is>
      </c>
      <c r="B707" s="1" t="n">
        <v>44901.36942129629</v>
      </c>
      <c r="C707" s="1" t="n">
        <v>45983</v>
      </c>
      <c r="D707" t="inlineStr">
        <is>
          <t>HALLANDS LÄN</t>
        </is>
      </c>
      <c r="E707" t="inlineStr">
        <is>
          <t>HYLTE</t>
        </is>
      </c>
      <c r="G707" t="n">
        <v>0.8</v>
      </c>
      <c r="H707" t="n">
        <v>0</v>
      </c>
      <c r="I707" t="n">
        <v>0</v>
      </c>
      <c r="J707" t="n">
        <v>0</v>
      </c>
      <c r="K707" t="n">
        <v>0</v>
      </c>
      <c r="L707" t="n">
        <v>0</v>
      </c>
      <c r="M707" t="n">
        <v>0</v>
      </c>
      <c r="N707" t="n">
        <v>0</v>
      </c>
      <c r="O707" t="n">
        <v>0</v>
      </c>
      <c r="P707" t="n">
        <v>0</v>
      </c>
      <c r="Q707" t="n">
        <v>0</v>
      </c>
      <c r="R707" s="2" t="inlineStr"/>
    </row>
    <row r="708" ht="15" customHeight="1">
      <c r="A708" t="inlineStr">
        <is>
          <t>A 47910-2024</t>
        </is>
      </c>
      <c r="B708" s="1" t="n">
        <v>45589.32143518519</v>
      </c>
      <c r="C708" s="1" t="n">
        <v>45983</v>
      </c>
      <c r="D708" t="inlineStr">
        <is>
          <t>HALLANDS LÄN</t>
        </is>
      </c>
      <c r="E708" t="inlineStr">
        <is>
          <t>HYLTE</t>
        </is>
      </c>
      <c r="G708" t="n">
        <v>0.6</v>
      </c>
      <c r="H708" t="n">
        <v>0</v>
      </c>
      <c r="I708" t="n">
        <v>0</v>
      </c>
      <c r="J708" t="n">
        <v>0</v>
      </c>
      <c r="K708" t="n">
        <v>0</v>
      </c>
      <c r="L708" t="n">
        <v>0</v>
      </c>
      <c r="M708" t="n">
        <v>0</v>
      </c>
      <c r="N708" t="n">
        <v>0</v>
      </c>
      <c r="O708" t="n">
        <v>0</v>
      </c>
      <c r="P708" t="n">
        <v>0</v>
      </c>
      <c r="Q708" t="n">
        <v>0</v>
      </c>
      <c r="R708" s="2" t="inlineStr"/>
    </row>
    <row r="709" ht="15" customHeight="1">
      <c r="A709" t="inlineStr">
        <is>
          <t>A 57871-2022</t>
        </is>
      </c>
      <c r="B709" s="1" t="n">
        <v>44899.73085648148</v>
      </c>
      <c r="C709" s="1" t="n">
        <v>45983</v>
      </c>
      <c r="D709" t="inlineStr">
        <is>
          <t>HALLANDS LÄN</t>
        </is>
      </c>
      <c r="E709" t="inlineStr">
        <is>
          <t>HYLTE</t>
        </is>
      </c>
      <c r="G709" t="n">
        <v>1.1</v>
      </c>
      <c r="H709" t="n">
        <v>0</v>
      </c>
      <c r="I709" t="n">
        <v>0</v>
      </c>
      <c r="J709" t="n">
        <v>0</v>
      </c>
      <c r="K709" t="n">
        <v>0</v>
      </c>
      <c r="L709" t="n">
        <v>0</v>
      </c>
      <c r="M709" t="n">
        <v>0</v>
      </c>
      <c r="N709" t="n">
        <v>0</v>
      </c>
      <c r="O709" t="n">
        <v>0</v>
      </c>
      <c r="P709" t="n">
        <v>0</v>
      </c>
      <c r="Q709" t="n">
        <v>0</v>
      </c>
      <c r="R709" s="2" t="inlineStr"/>
    </row>
    <row r="710" ht="15" customHeight="1">
      <c r="A710" t="inlineStr">
        <is>
          <t>A 11865-2023</t>
        </is>
      </c>
      <c r="B710" s="1" t="n">
        <v>44995.3935300926</v>
      </c>
      <c r="C710" s="1" t="n">
        <v>45983</v>
      </c>
      <c r="D710" t="inlineStr">
        <is>
          <t>HALLANDS LÄN</t>
        </is>
      </c>
      <c r="E710" t="inlineStr">
        <is>
          <t>HYLTE</t>
        </is>
      </c>
      <c r="G710" t="n">
        <v>1.1</v>
      </c>
      <c r="H710" t="n">
        <v>0</v>
      </c>
      <c r="I710" t="n">
        <v>0</v>
      </c>
      <c r="J710" t="n">
        <v>0</v>
      </c>
      <c r="K710" t="n">
        <v>0</v>
      </c>
      <c r="L710" t="n">
        <v>0</v>
      </c>
      <c r="M710" t="n">
        <v>0</v>
      </c>
      <c r="N710" t="n">
        <v>0</v>
      </c>
      <c r="O710" t="n">
        <v>0</v>
      </c>
      <c r="P710" t="n">
        <v>0</v>
      </c>
      <c r="Q710" t="n">
        <v>0</v>
      </c>
      <c r="R710" s="2" t="inlineStr"/>
    </row>
    <row r="711" ht="15" customHeight="1">
      <c r="A711" t="inlineStr">
        <is>
          <t>A 39107-2024</t>
        </is>
      </c>
      <c r="B711" s="1" t="n">
        <v>45548.57417824074</v>
      </c>
      <c r="C711" s="1" t="n">
        <v>45983</v>
      </c>
      <c r="D711" t="inlineStr">
        <is>
          <t>HALLANDS LÄN</t>
        </is>
      </c>
      <c r="E711" t="inlineStr">
        <is>
          <t>HYLTE</t>
        </is>
      </c>
      <c r="G711" t="n">
        <v>2.1</v>
      </c>
      <c r="H711" t="n">
        <v>0</v>
      </c>
      <c r="I711" t="n">
        <v>0</v>
      </c>
      <c r="J711" t="n">
        <v>0</v>
      </c>
      <c r="K711" t="n">
        <v>0</v>
      </c>
      <c r="L711" t="n">
        <v>0</v>
      </c>
      <c r="M711" t="n">
        <v>0</v>
      </c>
      <c r="N711" t="n">
        <v>0</v>
      </c>
      <c r="O711" t="n">
        <v>0</v>
      </c>
      <c r="P711" t="n">
        <v>0</v>
      </c>
      <c r="Q711" t="n">
        <v>0</v>
      </c>
      <c r="R711" s="2" t="inlineStr"/>
    </row>
    <row r="712" ht="15" customHeight="1">
      <c r="A712" t="inlineStr">
        <is>
          <t>A 4886-2023</t>
        </is>
      </c>
      <c r="B712" s="1" t="n">
        <v>44958.27760416667</v>
      </c>
      <c r="C712" s="1" t="n">
        <v>45983</v>
      </c>
      <c r="D712" t="inlineStr">
        <is>
          <t>HALLANDS LÄN</t>
        </is>
      </c>
      <c r="E712" t="inlineStr">
        <is>
          <t>HYLTE</t>
        </is>
      </c>
      <c r="G712" t="n">
        <v>0.9</v>
      </c>
      <c r="H712" t="n">
        <v>0</v>
      </c>
      <c r="I712" t="n">
        <v>0</v>
      </c>
      <c r="J712" t="n">
        <v>0</v>
      </c>
      <c r="K712" t="n">
        <v>0</v>
      </c>
      <c r="L712" t="n">
        <v>0</v>
      </c>
      <c r="M712" t="n">
        <v>0</v>
      </c>
      <c r="N712" t="n">
        <v>0</v>
      </c>
      <c r="O712" t="n">
        <v>0</v>
      </c>
      <c r="P712" t="n">
        <v>0</v>
      </c>
      <c r="Q712" t="n">
        <v>0</v>
      </c>
      <c r="R712" s="2" t="inlineStr"/>
    </row>
    <row r="713" ht="15" customHeight="1">
      <c r="A713" t="inlineStr">
        <is>
          <t>A 1950-2022</t>
        </is>
      </c>
      <c r="B713" s="1" t="n">
        <v>44575</v>
      </c>
      <c r="C713" s="1" t="n">
        <v>45983</v>
      </c>
      <c r="D713" t="inlineStr">
        <is>
          <t>HALLANDS LÄN</t>
        </is>
      </c>
      <c r="E713" t="inlineStr">
        <is>
          <t>HYLTE</t>
        </is>
      </c>
      <c r="G713" t="n">
        <v>1.9</v>
      </c>
      <c r="H713" t="n">
        <v>0</v>
      </c>
      <c r="I713" t="n">
        <v>0</v>
      </c>
      <c r="J713" t="n">
        <v>0</v>
      </c>
      <c r="K713" t="n">
        <v>0</v>
      </c>
      <c r="L713" t="n">
        <v>0</v>
      </c>
      <c r="M713" t="n">
        <v>0</v>
      </c>
      <c r="N713" t="n">
        <v>0</v>
      </c>
      <c r="O713" t="n">
        <v>0</v>
      </c>
      <c r="P713" t="n">
        <v>0</v>
      </c>
      <c r="Q713" t="n">
        <v>0</v>
      </c>
      <c r="R713" s="2" t="inlineStr"/>
    </row>
    <row r="714" ht="15" customHeight="1">
      <c r="A714" t="inlineStr">
        <is>
          <t>A 44131-2024</t>
        </is>
      </c>
      <c r="B714" s="1" t="n">
        <v>45572</v>
      </c>
      <c r="C714" s="1" t="n">
        <v>45983</v>
      </c>
      <c r="D714" t="inlineStr">
        <is>
          <t>HALLANDS LÄN</t>
        </is>
      </c>
      <c r="E714" t="inlineStr">
        <is>
          <t>HYLTE</t>
        </is>
      </c>
      <c r="G714" t="n">
        <v>1.9</v>
      </c>
      <c r="H714" t="n">
        <v>0</v>
      </c>
      <c r="I714" t="n">
        <v>0</v>
      </c>
      <c r="J714" t="n">
        <v>0</v>
      </c>
      <c r="K714" t="n">
        <v>0</v>
      </c>
      <c r="L714" t="n">
        <v>0</v>
      </c>
      <c r="M714" t="n">
        <v>0</v>
      </c>
      <c r="N714" t="n">
        <v>0</v>
      </c>
      <c r="O714" t="n">
        <v>0</v>
      </c>
      <c r="P714" t="n">
        <v>0</v>
      </c>
      <c r="Q714" t="n">
        <v>0</v>
      </c>
      <c r="R714" s="2" t="inlineStr"/>
    </row>
    <row r="715" ht="15" customHeight="1">
      <c r="A715" t="inlineStr">
        <is>
          <t>A 55417-2022</t>
        </is>
      </c>
      <c r="B715" s="1" t="n">
        <v>44887</v>
      </c>
      <c r="C715" s="1" t="n">
        <v>45983</v>
      </c>
      <c r="D715" t="inlineStr">
        <is>
          <t>HALLANDS LÄN</t>
        </is>
      </c>
      <c r="E715" t="inlineStr">
        <is>
          <t>HYLTE</t>
        </is>
      </c>
      <c r="G715" t="n">
        <v>4.1</v>
      </c>
      <c r="H715" t="n">
        <v>0</v>
      </c>
      <c r="I715" t="n">
        <v>0</v>
      </c>
      <c r="J715" t="n">
        <v>0</v>
      </c>
      <c r="K715" t="n">
        <v>0</v>
      </c>
      <c r="L715" t="n">
        <v>0</v>
      </c>
      <c r="M715" t="n">
        <v>0</v>
      </c>
      <c r="N715" t="n">
        <v>0</v>
      </c>
      <c r="O715" t="n">
        <v>0</v>
      </c>
      <c r="P715" t="n">
        <v>0</v>
      </c>
      <c r="Q715" t="n">
        <v>0</v>
      </c>
      <c r="R715" s="2" t="inlineStr"/>
    </row>
    <row r="716" ht="15" customHeight="1">
      <c r="A716" t="inlineStr">
        <is>
          <t>A 3813-2023</t>
        </is>
      </c>
      <c r="B716" s="1" t="n">
        <v>44951.61150462963</v>
      </c>
      <c r="C716" s="1" t="n">
        <v>45983</v>
      </c>
      <c r="D716" t="inlineStr">
        <is>
          <t>HALLANDS LÄN</t>
        </is>
      </c>
      <c r="E716" t="inlineStr">
        <is>
          <t>HYLTE</t>
        </is>
      </c>
      <c r="G716" t="n">
        <v>2.6</v>
      </c>
      <c r="H716" t="n">
        <v>0</v>
      </c>
      <c r="I716" t="n">
        <v>0</v>
      </c>
      <c r="J716" t="n">
        <v>0</v>
      </c>
      <c r="K716" t="n">
        <v>0</v>
      </c>
      <c r="L716" t="n">
        <v>0</v>
      </c>
      <c r="M716" t="n">
        <v>0</v>
      </c>
      <c r="N716" t="n">
        <v>0</v>
      </c>
      <c r="O716" t="n">
        <v>0</v>
      </c>
      <c r="P716" t="n">
        <v>0</v>
      </c>
      <c r="Q716" t="n">
        <v>0</v>
      </c>
      <c r="R716" s="2" t="inlineStr"/>
    </row>
    <row r="717" ht="15" customHeight="1">
      <c r="A717" t="inlineStr">
        <is>
          <t>A 9375-2021</t>
        </is>
      </c>
      <c r="B717" s="1" t="n">
        <v>44250</v>
      </c>
      <c r="C717" s="1" t="n">
        <v>45983</v>
      </c>
      <c r="D717" t="inlineStr">
        <is>
          <t>HALLANDS LÄN</t>
        </is>
      </c>
      <c r="E717" t="inlineStr">
        <is>
          <t>HYLTE</t>
        </is>
      </c>
      <c r="G717" t="n">
        <v>1.2</v>
      </c>
      <c r="H717" t="n">
        <v>0</v>
      </c>
      <c r="I717" t="n">
        <v>0</v>
      </c>
      <c r="J717" t="n">
        <v>0</v>
      </c>
      <c r="K717" t="n">
        <v>0</v>
      </c>
      <c r="L717" t="n">
        <v>0</v>
      </c>
      <c r="M717" t="n">
        <v>0</v>
      </c>
      <c r="N717" t="n">
        <v>0</v>
      </c>
      <c r="O717" t="n">
        <v>0</v>
      </c>
      <c r="P717" t="n">
        <v>0</v>
      </c>
      <c r="Q717" t="n">
        <v>0</v>
      </c>
      <c r="R717" s="2" t="inlineStr"/>
    </row>
    <row r="718" ht="15" customHeight="1">
      <c r="A718" t="inlineStr">
        <is>
          <t>A 61683-2023</t>
        </is>
      </c>
      <c r="B718" s="1" t="n">
        <v>45265.63447916666</v>
      </c>
      <c r="C718" s="1" t="n">
        <v>45983</v>
      </c>
      <c r="D718" t="inlineStr">
        <is>
          <t>HALLANDS LÄN</t>
        </is>
      </c>
      <c r="E718" t="inlineStr">
        <is>
          <t>HYLTE</t>
        </is>
      </c>
      <c r="G718" t="n">
        <v>1.3</v>
      </c>
      <c r="H718" t="n">
        <v>0</v>
      </c>
      <c r="I718" t="n">
        <v>0</v>
      </c>
      <c r="J718" t="n">
        <v>0</v>
      </c>
      <c r="K718" t="n">
        <v>0</v>
      </c>
      <c r="L718" t="n">
        <v>0</v>
      </c>
      <c r="M718" t="n">
        <v>0</v>
      </c>
      <c r="N718" t="n">
        <v>0</v>
      </c>
      <c r="O718" t="n">
        <v>0</v>
      </c>
      <c r="P718" t="n">
        <v>0</v>
      </c>
      <c r="Q718" t="n">
        <v>0</v>
      </c>
      <c r="R718" s="2" t="inlineStr"/>
    </row>
    <row r="719" ht="15" customHeight="1">
      <c r="A719" t="inlineStr">
        <is>
          <t>A 19792-2024</t>
        </is>
      </c>
      <c r="B719" s="1" t="n">
        <v>45432</v>
      </c>
      <c r="C719" s="1" t="n">
        <v>45983</v>
      </c>
      <c r="D719" t="inlineStr">
        <is>
          <t>HALLANDS LÄN</t>
        </is>
      </c>
      <c r="E719" t="inlineStr">
        <is>
          <t>HYLTE</t>
        </is>
      </c>
      <c r="G719" t="n">
        <v>3.9</v>
      </c>
      <c r="H719" t="n">
        <v>0</v>
      </c>
      <c r="I719" t="n">
        <v>0</v>
      </c>
      <c r="J719" t="n">
        <v>0</v>
      </c>
      <c r="K719" t="n">
        <v>0</v>
      </c>
      <c r="L719" t="n">
        <v>0</v>
      </c>
      <c r="M719" t="n">
        <v>0</v>
      </c>
      <c r="N719" t="n">
        <v>0</v>
      </c>
      <c r="O719" t="n">
        <v>0</v>
      </c>
      <c r="P719" t="n">
        <v>0</v>
      </c>
      <c r="Q719" t="n">
        <v>0</v>
      </c>
      <c r="R719" s="2" t="inlineStr"/>
    </row>
    <row r="720" ht="15" customHeight="1">
      <c r="A720" t="inlineStr">
        <is>
          <t>A 33613-2023</t>
        </is>
      </c>
      <c r="B720" s="1" t="n">
        <v>45132.35609953704</v>
      </c>
      <c r="C720" s="1" t="n">
        <v>45983</v>
      </c>
      <c r="D720" t="inlineStr">
        <is>
          <t>HALLANDS LÄN</t>
        </is>
      </c>
      <c r="E720" t="inlineStr">
        <is>
          <t>HYLTE</t>
        </is>
      </c>
      <c r="G720" t="n">
        <v>3.9</v>
      </c>
      <c r="H720" t="n">
        <v>0</v>
      </c>
      <c r="I720" t="n">
        <v>0</v>
      </c>
      <c r="J720" t="n">
        <v>0</v>
      </c>
      <c r="K720" t="n">
        <v>0</v>
      </c>
      <c r="L720" t="n">
        <v>0</v>
      </c>
      <c r="M720" t="n">
        <v>0</v>
      </c>
      <c r="N720" t="n">
        <v>0</v>
      </c>
      <c r="O720" t="n">
        <v>0</v>
      </c>
      <c r="P720" t="n">
        <v>0</v>
      </c>
      <c r="Q720" t="n">
        <v>0</v>
      </c>
      <c r="R720" s="2" t="inlineStr"/>
    </row>
    <row r="721" ht="15" customHeight="1">
      <c r="A721" t="inlineStr">
        <is>
          <t>A 57459-2023</t>
        </is>
      </c>
      <c r="B721" s="1" t="n">
        <v>45246.35570601852</v>
      </c>
      <c r="C721" s="1" t="n">
        <v>45983</v>
      </c>
      <c r="D721" t="inlineStr">
        <is>
          <t>HALLANDS LÄN</t>
        </is>
      </c>
      <c r="E721" t="inlineStr">
        <is>
          <t>HYLTE</t>
        </is>
      </c>
      <c r="G721" t="n">
        <v>3.8</v>
      </c>
      <c r="H721" t="n">
        <v>0</v>
      </c>
      <c r="I721" t="n">
        <v>0</v>
      </c>
      <c r="J721" t="n">
        <v>0</v>
      </c>
      <c r="K721" t="n">
        <v>0</v>
      </c>
      <c r="L721" t="n">
        <v>0</v>
      </c>
      <c r="M721" t="n">
        <v>0</v>
      </c>
      <c r="N721" t="n">
        <v>0</v>
      </c>
      <c r="O721" t="n">
        <v>0</v>
      </c>
      <c r="P721" t="n">
        <v>0</v>
      </c>
      <c r="Q721" t="n">
        <v>0</v>
      </c>
      <c r="R721" s="2" t="inlineStr"/>
    </row>
    <row r="722" ht="15" customHeight="1">
      <c r="A722" t="inlineStr">
        <is>
          <t>A 57466-2023</t>
        </is>
      </c>
      <c r="B722" s="1" t="n">
        <v>45246.36679398148</v>
      </c>
      <c r="C722" s="1" t="n">
        <v>45983</v>
      </c>
      <c r="D722" t="inlineStr">
        <is>
          <t>HALLANDS LÄN</t>
        </is>
      </c>
      <c r="E722" t="inlineStr">
        <is>
          <t>HYLTE</t>
        </is>
      </c>
      <c r="G722" t="n">
        <v>0.6</v>
      </c>
      <c r="H722" t="n">
        <v>0</v>
      </c>
      <c r="I722" t="n">
        <v>0</v>
      </c>
      <c r="J722" t="n">
        <v>0</v>
      </c>
      <c r="K722" t="n">
        <v>0</v>
      </c>
      <c r="L722" t="n">
        <v>0</v>
      </c>
      <c r="M722" t="n">
        <v>0</v>
      </c>
      <c r="N722" t="n">
        <v>0</v>
      </c>
      <c r="O722" t="n">
        <v>0</v>
      </c>
      <c r="P722" t="n">
        <v>0</v>
      </c>
      <c r="Q722" t="n">
        <v>0</v>
      </c>
      <c r="R722" s="2" t="inlineStr"/>
    </row>
    <row r="723" ht="15" customHeight="1">
      <c r="A723" t="inlineStr">
        <is>
          <t>A 18840-2024</t>
        </is>
      </c>
      <c r="B723" s="1" t="n">
        <v>45426.66671296296</v>
      </c>
      <c r="C723" s="1" t="n">
        <v>45983</v>
      </c>
      <c r="D723" t="inlineStr">
        <is>
          <t>HALLANDS LÄN</t>
        </is>
      </c>
      <c r="E723" t="inlineStr">
        <is>
          <t>HYLTE</t>
        </is>
      </c>
      <c r="G723" t="n">
        <v>1.3</v>
      </c>
      <c r="H723" t="n">
        <v>0</v>
      </c>
      <c r="I723" t="n">
        <v>0</v>
      </c>
      <c r="J723" t="n">
        <v>0</v>
      </c>
      <c r="K723" t="n">
        <v>0</v>
      </c>
      <c r="L723" t="n">
        <v>0</v>
      </c>
      <c r="M723" t="n">
        <v>0</v>
      </c>
      <c r="N723" t="n">
        <v>0</v>
      </c>
      <c r="O723" t="n">
        <v>0</v>
      </c>
      <c r="P723" t="n">
        <v>0</v>
      </c>
      <c r="Q723" t="n">
        <v>0</v>
      </c>
      <c r="R723" s="2" t="inlineStr"/>
    </row>
    <row r="724" ht="15" customHeight="1">
      <c r="A724" t="inlineStr">
        <is>
          <t>A 6786-2021</t>
        </is>
      </c>
      <c r="B724" s="1" t="n">
        <v>44236</v>
      </c>
      <c r="C724" s="1" t="n">
        <v>45983</v>
      </c>
      <c r="D724" t="inlineStr">
        <is>
          <t>HALLANDS LÄN</t>
        </is>
      </c>
      <c r="E724" t="inlineStr">
        <is>
          <t>HYLTE</t>
        </is>
      </c>
      <c r="G724" t="n">
        <v>3.9</v>
      </c>
      <c r="H724" t="n">
        <v>0</v>
      </c>
      <c r="I724" t="n">
        <v>0</v>
      </c>
      <c r="J724" t="n">
        <v>0</v>
      </c>
      <c r="K724" t="n">
        <v>0</v>
      </c>
      <c r="L724" t="n">
        <v>0</v>
      </c>
      <c r="M724" t="n">
        <v>0</v>
      </c>
      <c r="N724" t="n">
        <v>0</v>
      </c>
      <c r="O724" t="n">
        <v>0</v>
      </c>
      <c r="P724" t="n">
        <v>0</v>
      </c>
      <c r="Q724" t="n">
        <v>0</v>
      </c>
      <c r="R724" s="2" t="inlineStr"/>
    </row>
    <row r="725" ht="15" customHeight="1">
      <c r="A725" t="inlineStr">
        <is>
          <t>A 11170-2024</t>
        </is>
      </c>
      <c r="B725" s="1" t="n">
        <v>45371.49938657408</v>
      </c>
      <c r="C725" s="1" t="n">
        <v>45983</v>
      </c>
      <c r="D725" t="inlineStr">
        <is>
          <t>HALLANDS LÄN</t>
        </is>
      </c>
      <c r="E725" t="inlineStr">
        <is>
          <t>HYLTE</t>
        </is>
      </c>
      <c r="G725" t="n">
        <v>2.5</v>
      </c>
      <c r="H725" t="n">
        <v>0</v>
      </c>
      <c r="I725" t="n">
        <v>0</v>
      </c>
      <c r="J725" t="n">
        <v>0</v>
      </c>
      <c r="K725" t="n">
        <v>0</v>
      </c>
      <c r="L725" t="n">
        <v>0</v>
      </c>
      <c r="M725" t="n">
        <v>0</v>
      </c>
      <c r="N725" t="n">
        <v>0</v>
      </c>
      <c r="O725" t="n">
        <v>0</v>
      </c>
      <c r="P725" t="n">
        <v>0</v>
      </c>
      <c r="Q725" t="n">
        <v>0</v>
      </c>
      <c r="R725" s="2" t="inlineStr"/>
    </row>
    <row r="726" ht="15" customHeight="1">
      <c r="A726" t="inlineStr">
        <is>
          <t>A 43634-2023</t>
        </is>
      </c>
      <c r="B726" s="1" t="n">
        <v>45186.38148148148</v>
      </c>
      <c r="C726" s="1" t="n">
        <v>45983</v>
      </c>
      <c r="D726" t="inlineStr">
        <is>
          <t>HALLANDS LÄN</t>
        </is>
      </c>
      <c r="E726" t="inlineStr">
        <is>
          <t>HYLTE</t>
        </is>
      </c>
      <c r="G726" t="n">
        <v>1.7</v>
      </c>
      <c r="H726" t="n">
        <v>0</v>
      </c>
      <c r="I726" t="n">
        <v>0</v>
      </c>
      <c r="J726" t="n">
        <v>0</v>
      </c>
      <c r="K726" t="n">
        <v>0</v>
      </c>
      <c r="L726" t="n">
        <v>0</v>
      </c>
      <c r="M726" t="n">
        <v>0</v>
      </c>
      <c r="N726" t="n">
        <v>0</v>
      </c>
      <c r="O726" t="n">
        <v>0</v>
      </c>
      <c r="P726" t="n">
        <v>0</v>
      </c>
      <c r="Q726" t="n">
        <v>0</v>
      </c>
      <c r="R726" s="2" t="inlineStr"/>
    </row>
    <row r="727" ht="15" customHeight="1">
      <c r="A727" t="inlineStr">
        <is>
          <t>A 40836-2024</t>
        </is>
      </c>
      <c r="B727" s="1" t="n">
        <v>45558.56938657408</v>
      </c>
      <c r="C727" s="1" t="n">
        <v>45983</v>
      </c>
      <c r="D727" t="inlineStr">
        <is>
          <t>HALLANDS LÄN</t>
        </is>
      </c>
      <c r="E727" t="inlineStr">
        <is>
          <t>HYLTE</t>
        </is>
      </c>
      <c r="G727" t="n">
        <v>2.6</v>
      </c>
      <c r="H727" t="n">
        <v>0</v>
      </c>
      <c r="I727" t="n">
        <v>0</v>
      </c>
      <c r="J727" t="n">
        <v>0</v>
      </c>
      <c r="K727" t="n">
        <v>0</v>
      </c>
      <c r="L727" t="n">
        <v>0</v>
      </c>
      <c r="M727" t="n">
        <v>0</v>
      </c>
      <c r="N727" t="n">
        <v>0</v>
      </c>
      <c r="O727" t="n">
        <v>0</v>
      </c>
      <c r="P727" t="n">
        <v>0</v>
      </c>
      <c r="Q727" t="n">
        <v>0</v>
      </c>
      <c r="R727" s="2" t="inlineStr"/>
    </row>
    <row r="728" ht="15" customHeight="1">
      <c r="A728" t="inlineStr">
        <is>
          <t>A 18144-2021</t>
        </is>
      </c>
      <c r="B728" s="1" t="n">
        <v>44302</v>
      </c>
      <c r="C728" s="1" t="n">
        <v>45983</v>
      </c>
      <c r="D728" t="inlineStr">
        <is>
          <t>HALLANDS LÄN</t>
        </is>
      </c>
      <c r="E728" t="inlineStr">
        <is>
          <t>HYLTE</t>
        </is>
      </c>
      <c r="G728" t="n">
        <v>2.8</v>
      </c>
      <c r="H728" t="n">
        <v>0</v>
      </c>
      <c r="I728" t="n">
        <v>0</v>
      </c>
      <c r="J728" t="n">
        <v>0</v>
      </c>
      <c r="K728" t="n">
        <v>0</v>
      </c>
      <c r="L728" t="n">
        <v>0</v>
      </c>
      <c r="M728" t="n">
        <v>0</v>
      </c>
      <c r="N728" t="n">
        <v>0</v>
      </c>
      <c r="O728" t="n">
        <v>0</v>
      </c>
      <c r="P728" t="n">
        <v>0</v>
      </c>
      <c r="Q728" t="n">
        <v>0</v>
      </c>
      <c r="R728" s="2" t="inlineStr"/>
    </row>
    <row r="729" ht="15" customHeight="1">
      <c r="A729" t="inlineStr">
        <is>
          <t>A 16778-2024</t>
        </is>
      </c>
      <c r="B729" s="1" t="n">
        <v>45411.41262731481</v>
      </c>
      <c r="C729" s="1" t="n">
        <v>45983</v>
      </c>
      <c r="D729" t="inlineStr">
        <is>
          <t>HALLANDS LÄN</t>
        </is>
      </c>
      <c r="E729" t="inlineStr">
        <is>
          <t>HYLTE</t>
        </is>
      </c>
      <c r="G729" t="n">
        <v>7.8</v>
      </c>
      <c r="H729" t="n">
        <v>0</v>
      </c>
      <c r="I729" t="n">
        <v>0</v>
      </c>
      <c r="J729" t="n">
        <v>0</v>
      </c>
      <c r="K729" t="n">
        <v>0</v>
      </c>
      <c r="L729" t="n">
        <v>0</v>
      </c>
      <c r="M729" t="n">
        <v>0</v>
      </c>
      <c r="N729" t="n">
        <v>0</v>
      </c>
      <c r="O729" t="n">
        <v>0</v>
      </c>
      <c r="P729" t="n">
        <v>0</v>
      </c>
      <c r="Q729" t="n">
        <v>0</v>
      </c>
      <c r="R729" s="2" t="inlineStr"/>
    </row>
    <row r="730" ht="15" customHeight="1">
      <c r="A730" t="inlineStr">
        <is>
          <t>A 8433-2021</t>
        </is>
      </c>
      <c r="B730" s="1" t="n">
        <v>44245.46763888889</v>
      </c>
      <c r="C730" s="1" t="n">
        <v>45983</v>
      </c>
      <c r="D730" t="inlineStr">
        <is>
          <t>HALLANDS LÄN</t>
        </is>
      </c>
      <c r="E730" t="inlineStr">
        <is>
          <t>HYLTE</t>
        </is>
      </c>
      <c r="G730" t="n">
        <v>2.2</v>
      </c>
      <c r="H730" t="n">
        <v>0</v>
      </c>
      <c r="I730" t="n">
        <v>0</v>
      </c>
      <c r="J730" t="n">
        <v>0</v>
      </c>
      <c r="K730" t="n">
        <v>0</v>
      </c>
      <c r="L730" t="n">
        <v>0</v>
      </c>
      <c r="M730" t="n">
        <v>0</v>
      </c>
      <c r="N730" t="n">
        <v>0</v>
      </c>
      <c r="O730" t="n">
        <v>0</v>
      </c>
      <c r="P730" t="n">
        <v>0</v>
      </c>
      <c r="Q730" t="n">
        <v>0</v>
      </c>
      <c r="R730" s="2" t="inlineStr"/>
    </row>
    <row r="731" ht="15" customHeight="1">
      <c r="A731" t="inlineStr">
        <is>
          <t>A 21433-2024</t>
        </is>
      </c>
      <c r="B731" s="1" t="n">
        <v>45441.43622685185</v>
      </c>
      <c r="C731" s="1" t="n">
        <v>45983</v>
      </c>
      <c r="D731" t="inlineStr">
        <is>
          <t>HALLANDS LÄN</t>
        </is>
      </c>
      <c r="E731" t="inlineStr">
        <is>
          <t>HYLTE</t>
        </is>
      </c>
      <c r="F731" t="inlineStr">
        <is>
          <t>Kyrkan</t>
        </is>
      </c>
      <c r="G731" t="n">
        <v>0.6</v>
      </c>
      <c r="H731" t="n">
        <v>0</v>
      </c>
      <c r="I731" t="n">
        <v>0</v>
      </c>
      <c r="J731" t="n">
        <v>0</v>
      </c>
      <c r="K731" t="n">
        <v>0</v>
      </c>
      <c r="L731" t="n">
        <v>0</v>
      </c>
      <c r="M731" t="n">
        <v>0</v>
      </c>
      <c r="N731" t="n">
        <v>0</v>
      </c>
      <c r="O731" t="n">
        <v>0</v>
      </c>
      <c r="P731" t="n">
        <v>0</v>
      </c>
      <c r="Q731" t="n">
        <v>0</v>
      </c>
      <c r="R731" s="2" t="inlineStr"/>
    </row>
    <row r="732" ht="15" customHeight="1">
      <c r="A732" t="inlineStr">
        <is>
          <t>A 56310-2024</t>
        </is>
      </c>
      <c r="B732" s="1" t="n">
        <v>45624.70648148148</v>
      </c>
      <c r="C732" s="1" t="n">
        <v>45983</v>
      </c>
      <c r="D732" t="inlineStr">
        <is>
          <t>HALLANDS LÄN</t>
        </is>
      </c>
      <c r="E732" t="inlineStr">
        <is>
          <t>HYLTE</t>
        </is>
      </c>
      <c r="G732" t="n">
        <v>1</v>
      </c>
      <c r="H732" t="n">
        <v>0</v>
      </c>
      <c r="I732" t="n">
        <v>0</v>
      </c>
      <c r="J732" t="n">
        <v>0</v>
      </c>
      <c r="K732" t="n">
        <v>0</v>
      </c>
      <c r="L732" t="n">
        <v>0</v>
      </c>
      <c r="M732" t="n">
        <v>0</v>
      </c>
      <c r="N732" t="n">
        <v>0</v>
      </c>
      <c r="O732" t="n">
        <v>0</v>
      </c>
      <c r="P732" t="n">
        <v>0</v>
      </c>
      <c r="Q732" t="n">
        <v>0</v>
      </c>
      <c r="R732" s="2" t="inlineStr"/>
    </row>
    <row r="733" ht="15" customHeight="1">
      <c r="A733" t="inlineStr">
        <is>
          <t>A 13653-2021</t>
        </is>
      </c>
      <c r="B733" s="1" t="n">
        <v>44274.44606481482</v>
      </c>
      <c r="C733" s="1" t="n">
        <v>45983</v>
      </c>
      <c r="D733" t="inlineStr">
        <is>
          <t>HALLANDS LÄN</t>
        </is>
      </c>
      <c r="E733" t="inlineStr">
        <is>
          <t>HYLTE</t>
        </is>
      </c>
      <c r="G733" t="n">
        <v>0.4</v>
      </c>
      <c r="H733" t="n">
        <v>0</v>
      </c>
      <c r="I733" t="n">
        <v>0</v>
      </c>
      <c r="J733" t="n">
        <v>0</v>
      </c>
      <c r="K733" t="n">
        <v>0</v>
      </c>
      <c r="L733" t="n">
        <v>0</v>
      </c>
      <c r="M733" t="n">
        <v>0</v>
      </c>
      <c r="N733" t="n">
        <v>0</v>
      </c>
      <c r="O733" t="n">
        <v>0</v>
      </c>
      <c r="P733" t="n">
        <v>0</v>
      </c>
      <c r="Q733" t="n">
        <v>0</v>
      </c>
      <c r="R733" s="2" t="inlineStr"/>
    </row>
    <row r="734" ht="15" customHeight="1">
      <c r="A734" t="inlineStr">
        <is>
          <t>A 45916-2024</t>
        </is>
      </c>
      <c r="B734" s="1" t="n">
        <v>45580.45979166667</v>
      </c>
      <c r="C734" s="1" t="n">
        <v>45983</v>
      </c>
      <c r="D734" t="inlineStr">
        <is>
          <t>HALLANDS LÄN</t>
        </is>
      </c>
      <c r="E734" t="inlineStr">
        <is>
          <t>HYLTE</t>
        </is>
      </c>
      <c r="G734" t="n">
        <v>1.2</v>
      </c>
      <c r="H734" t="n">
        <v>0</v>
      </c>
      <c r="I734" t="n">
        <v>0</v>
      </c>
      <c r="J734" t="n">
        <v>0</v>
      </c>
      <c r="K734" t="n">
        <v>0</v>
      </c>
      <c r="L734" t="n">
        <v>0</v>
      </c>
      <c r="M734" t="n">
        <v>0</v>
      </c>
      <c r="N734" t="n">
        <v>0</v>
      </c>
      <c r="O734" t="n">
        <v>0</v>
      </c>
      <c r="P734" t="n">
        <v>0</v>
      </c>
      <c r="Q734" t="n">
        <v>0</v>
      </c>
      <c r="R734" s="2" t="inlineStr"/>
    </row>
    <row r="735" ht="15" customHeight="1">
      <c r="A735" t="inlineStr">
        <is>
          <t>A 43402-2024</t>
        </is>
      </c>
      <c r="B735" s="1" t="n">
        <v>45568.61333333333</v>
      </c>
      <c r="C735" s="1" t="n">
        <v>45983</v>
      </c>
      <c r="D735" t="inlineStr">
        <is>
          <t>HALLANDS LÄN</t>
        </is>
      </c>
      <c r="E735" t="inlineStr">
        <is>
          <t>HYLTE</t>
        </is>
      </c>
      <c r="G735" t="n">
        <v>1</v>
      </c>
      <c r="H735" t="n">
        <v>0</v>
      </c>
      <c r="I735" t="n">
        <v>0</v>
      </c>
      <c r="J735" t="n">
        <v>0</v>
      </c>
      <c r="K735" t="n">
        <v>0</v>
      </c>
      <c r="L735" t="n">
        <v>0</v>
      </c>
      <c r="M735" t="n">
        <v>0</v>
      </c>
      <c r="N735" t="n">
        <v>0</v>
      </c>
      <c r="O735" t="n">
        <v>0</v>
      </c>
      <c r="P735" t="n">
        <v>0</v>
      </c>
      <c r="Q735" t="n">
        <v>0</v>
      </c>
      <c r="R735" s="2" t="inlineStr"/>
    </row>
    <row r="736" ht="15" customHeight="1">
      <c r="A736" t="inlineStr">
        <is>
          <t>A 56554-2021</t>
        </is>
      </c>
      <c r="B736" s="1" t="n">
        <v>44480</v>
      </c>
      <c r="C736" s="1" t="n">
        <v>45983</v>
      </c>
      <c r="D736" t="inlineStr">
        <is>
          <t>HALLANDS LÄN</t>
        </is>
      </c>
      <c r="E736" t="inlineStr">
        <is>
          <t>HYLTE</t>
        </is>
      </c>
      <c r="G736" t="n">
        <v>3.6</v>
      </c>
      <c r="H736" t="n">
        <v>0</v>
      </c>
      <c r="I736" t="n">
        <v>0</v>
      </c>
      <c r="J736" t="n">
        <v>0</v>
      </c>
      <c r="K736" t="n">
        <v>0</v>
      </c>
      <c r="L736" t="n">
        <v>0</v>
      </c>
      <c r="M736" t="n">
        <v>0</v>
      </c>
      <c r="N736" t="n">
        <v>0</v>
      </c>
      <c r="O736" t="n">
        <v>0</v>
      </c>
      <c r="P736" t="n">
        <v>0</v>
      </c>
      <c r="Q736" t="n">
        <v>0</v>
      </c>
      <c r="R736" s="2" t="inlineStr"/>
    </row>
    <row r="737" ht="15" customHeight="1">
      <c r="A737" t="inlineStr">
        <is>
          <t>A 22656-2022</t>
        </is>
      </c>
      <c r="B737" s="1" t="n">
        <v>44714</v>
      </c>
      <c r="C737" s="1" t="n">
        <v>45983</v>
      </c>
      <c r="D737" t="inlineStr">
        <is>
          <t>HALLANDS LÄN</t>
        </is>
      </c>
      <c r="E737" t="inlineStr">
        <is>
          <t>HYLTE</t>
        </is>
      </c>
      <c r="F737" t="inlineStr">
        <is>
          <t>Bergvik skog väst AB</t>
        </is>
      </c>
      <c r="G737" t="n">
        <v>5.5</v>
      </c>
      <c r="H737" t="n">
        <v>0</v>
      </c>
      <c r="I737" t="n">
        <v>0</v>
      </c>
      <c r="J737" t="n">
        <v>0</v>
      </c>
      <c r="K737" t="n">
        <v>0</v>
      </c>
      <c r="L737" t="n">
        <v>0</v>
      </c>
      <c r="M737" t="n">
        <v>0</v>
      </c>
      <c r="N737" t="n">
        <v>0</v>
      </c>
      <c r="O737" t="n">
        <v>0</v>
      </c>
      <c r="P737" t="n">
        <v>0</v>
      </c>
      <c r="Q737" t="n">
        <v>0</v>
      </c>
      <c r="R737" s="2" t="inlineStr"/>
    </row>
    <row r="738" ht="15" customHeight="1">
      <c r="A738" t="inlineStr">
        <is>
          <t>A 14009-2021</t>
        </is>
      </c>
      <c r="B738" s="1" t="n">
        <v>44277.63270833333</v>
      </c>
      <c r="C738" s="1" t="n">
        <v>45983</v>
      </c>
      <c r="D738" t="inlineStr">
        <is>
          <t>HALLANDS LÄN</t>
        </is>
      </c>
      <c r="E738" t="inlineStr">
        <is>
          <t>HYLTE</t>
        </is>
      </c>
      <c r="G738" t="n">
        <v>0.7</v>
      </c>
      <c r="H738" t="n">
        <v>0</v>
      </c>
      <c r="I738" t="n">
        <v>0</v>
      </c>
      <c r="J738" t="n">
        <v>0</v>
      </c>
      <c r="K738" t="n">
        <v>0</v>
      </c>
      <c r="L738" t="n">
        <v>0</v>
      </c>
      <c r="M738" t="n">
        <v>0</v>
      </c>
      <c r="N738" t="n">
        <v>0</v>
      </c>
      <c r="O738" t="n">
        <v>0</v>
      </c>
      <c r="P738" t="n">
        <v>0</v>
      </c>
      <c r="Q738" t="n">
        <v>0</v>
      </c>
      <c r="R738" s="2" t="inlineStr"/>
    </row>
    <row r="739" ht="15" customHeight="1">
      <c r="A739" t="inlineStr">
        <is>
          <t>A 38602-2022</t>
        </is>
      </c>
      <c r="B739" s="1" t="n">
        <v>44813.59078703704</v>
      </c>
      <c r="C739" s="1" t="n">
        <v>45983</v>
      </c>
      <c r="D739" t="inlineStr">
        <is>
          <t>HALLANDS LÄN</t>
        </is>
      </c>
      <c r="E739" t="inlineStr">
        <is>
          <t>HYLTE</t>
        </is>
      </c>
      <c r="G739" t="n">
        <v>2.6</v>
      </c>
      <c r="H739" t="n">
        <v>0</v>
      </c>
      <c r="I739" t="n">
        <v>0</v>
      </c>
      <c r="J739" t="n">
        <v>0</v>
      </c>
      <c r="K739" t="n">
        <v>0</v>
      </c>
      <c r="L739" t="n">
        <v>0</v>
      </c>
      <c r="M739" t="n">
        <v>0</v>
      </c>
      <c r="N739" t="n">
        <v>0</v>
      </c>
      <c r="O739" t="n">
        <v>0</v>
      </c>
      <c r="P739" t="n">
        <v>0</v>
      </c>
      <c r="Q739" t="n">
        <v>0</v>
      </c>
      <c r="R739" s="2" t="inlineStr"/>
    </row>
    <row r="740" ht="15" customHeight="1">
      <c r="A740" t="inlineStr">
        <is>
          <t>A 38825-2023</t>
        </is>
      </c>
      <c r="B740" s="1" t="n">
        <v>45163.4753587963</v>
      </c>
      <c r="C740" s="1" t="n">
        <v>45983</v>
      </c>
      <c r="D740" t="inlineStr">
        <is>
          <t>HALLANDS LÄN</t>
        </is>
      </c>
      <c r="E740" t="inlineStr">
        <is>
          <t>HYLTE</t>
        </is>
      </c>
      <c r="G740" t="n">
        <v>2.2</v>
      </c>
      <c r="H740" t="n">
        <v>0</v>
      </c>
      <c r="I740" t="n">
        <v>0</v>
      </c>
      <c r="J740" t="n">
        <v>0</v>
      </c>
      <c r="K740" t="n">
        <v>0</v>
      </c>
      <c r="L740" t="n">
        <v>0</v>
      </c>
      <c r="M740" t="n">
        <v>0</v>
      </c>
      <c r="N740" t="n">
        <v>0</v>
      </c>
      <c r="O740" t="n">
        <v>0</v>
      </c>
      <c r="P740" t="n">
        <v>0</v>
      </c>
      <c r="Q740" t="n">
        <v>0</v>
      </c>
      <c r="R740" s="2" t="inlineStr"/>
    </row>
    <row r="741" ht="15" customHeight="1">
      <c r="A741" t="inlineStr">
        <is>
          <t>A 46946-2022</t>
        </is>
      </c>
      <c r="B741" s="1" t="n">
        <v>44851.87695601852</v>
      </c>
      <c r="C741" s="1" t="n">
        <v>45983</v>
      </c>
      <c r="D741" t="inlineStr">
        <is>
          <t>HALLANDS LÄN</t>
        </is>
      </c>
      <c r="E741" t="inlineStr">
        <is>
          <t>HYLTE</t>
        </is>
      </c>
      <c r="G741" t="n">
        <v>4.9</v>
      </c>
      <c r="H741" t="n">
        <v>0</v>
      </c>
      <c r="I741" t="n">
        <v>0</v>
      </c>
      <c r="J741" t="n">
        <v>0</v>
      </c>
      <c r="K741" t="n">
        <v>0</v>
      </c>
      <c r="L741" t="n">
        <v>0</v>
      </c>
      <c r="M741" t="n">
        <v>0</v>
      </c>
      <c r="N741" t="n">
        <v>0</v>
      </c>
      <c r="O741" t="n">
        <v>0</v>
      </c>
      <c r="P741" t="n">
        <v>0</v>
      </c>
      <c r="Q741" t="n">
        <v>0</v>
      </c>
      <c r="R741" s="2" t="inlineStr"/>
    </row>
    <row r="742" ht="15" customHeight="1">
      <c r="A742" t="inlineStr">
        <is>
          <t>A 46948-2022</t>
        </is>
      </c>
      <c r="B742" s="1" t="n">
        <v>44851.88628472222</v>
      </c>
      <c r="C742" s="1" t="n">
        <v>45983</v>
      </c>
      <c r="D742" t="inlineStr">
        <is>
          <t>HALLANDS LÄN</t>
        </is>
      </c>
      <c r="E742" t="inlineStr">
        <is>
          <t>HYLTE</t>
        </is>
      </c>
      <c r="G742" t="n">
        <v>1.5</v>
      </c>
      <c r="H742" t="n">
        <v>0</v>
      </c>
      <c r="I742" t="n">
        <v>0</v>
      </c>
      <c r="J742" t="n">
        <v>0</v>
      </c>
      <c r="K742" t="n">
        <v>0</v>
      </c>
      <c r="L742" t="n">
        <v>0</v>
      </c>
      <c r="M742" t="n">
        <v>0</v>
      </c>
      <c r="N742" t="n">
        <v>0</v>
      </c>
      <c r="O742" t="n">
        <v>0</v>
      </c>
      <c r="P742" t="n">
        <v>0</v>
      </c>
      <c r="Q742" t="n">
        <v>0</v>
      </c>
      <c r="R742" s="2" t="inlineStr"/>
    </row>
    <row r="743" ht="15" customHeight="1">
      <c r="A743" t="inlineStr">
        <is>
          <t>A 17379-2023</t>
        </is>
      </c>
      <c r="B743" s="1" t="n">
        <v>45035.6530324074</v>
      </c>
      <c r="C743" s="1" t="n">
        <v>45983</v>
      </c>
      <c r="D743" t="inlineStr">
        <is>
          <t>HALLANDS LÄN</t>
        </is>
      </c>
      <c r="E743" t="inlineStr">
        <is>
          <t>HYLTE</t>
        </is>
      </c>
      <c r="G743" t="n">
        <v>1.3</v>
      </c>
      <c r="H743" t="n">
        <v>0</v>
      </c>
      <c r="I743" t="n">
        <v>0</v>
      </c>
      <c r="J743" t="n">
        <v>0</v>
      </c>
      <c r="K743" t="n">
        <v>0</v>
      </c>
      <c r="L743" t="n">
        <v>0</v>
      </c>
      <c r="M743" t="n">
        <v>0</v>
      </c>
      <c r="N743" t="n">
        <v>0</v>
      </c>
      <c r="O743" t="n">
        <v>0</v>
      </c>
      <c r="P743" t="n">
        <v>0</v>
      </c>
      <c r="Q743" t="n">
        <v>0</v>
      </c>
      <c r="R743" s="2" t="inlineStr"/>
    </row>
    <row r="744" ht="15" customHeight="1">
      <c r="A744" t="inlineStr">
        <is>
          <t>A 24481-2022</t>
        </is>
      </c>
      <c r="B744" s="1" t="n">
        <v>44726.66380787037</v>
      </c>
      <c r="C744" s="1" t="n">
        <v>45983</v>
      </c>
      <c r="D744" t="inlineStr">
        <is>
          <t>HALLANDS LÄN</t>
        </is>
      </c>
      <c r="E744" t="inlineStr">
        <is>
          <t>HYLTE</t>
        </is>
      </c>
      <c r="G744" t="n">
        <v>1.1</v>
      </c>
      <c r="H744" t="n">
        <v>0</v>
      </c>
      <c r="I744" t="n">
        <v>0</v>
      </c>
      <c r="J744" t="n">
        <v>0</v>
      </c>
      <c r="K744" t="n">
        <v>0</v>
      </c>
      <c r="L744" t="n">
        <v>0</v>
      </c>
      <c r="M744" t="n">
        <v>0</v>
      </c>
      <c r="N744" t="n">
        <v>0</v>
      </c>
      <c r="O744" t="n">
        <v>0</v>
      </c>
      <c r="P744" t="n">
        <v>0</v>
      </c>
      <c r="Q744" t="n">
        <v>0</v>
      </c>
      <c r="R744" s="2" t="inlineStr"/>
    </row>
    <row r="745" ht="15" customHeight="1">
      <c r="A745" t="inlineStr">
        <is>
          <t>A 15313-2023</t>
        </is>
      </c>
      <c r="B745" s="1" t="n">
        <v>45019.47556712963</v>
      </c>
      <c r="C745" s="1" t="n">
        <v>45983</v>
      </c>
      <c r="D745" t="inlineStr">
        <is>
          <t>HALLANDS LÄN</t>
        </is>
      </c>
      <c r="E745" t="inlineStr">
        <is>
          <t>HYLTE</t>
        </is>
      </c>
      <c r="G745" t="n">
        <v>5.9</v>
      </c>
      <c r="H745" t="n">
        <v>0</v>
      </c>
      <c r="I745" t="n">
        <v>0</v>
      </c>
      <c r="J745" t="n">
        <v>0</v>
      </c>
      <c r="K745" t="n">
        <v>0</v>
      </c>
      <c r="L745" t="n">
        <v>0</v>
      </c>
      <c r="M745" t="n">
        <v>0</v>
      </c>
      <c r="N745" t="n">
        <v>0</v>
      </c>
      <c r="O745" t="n">
        <v>0</v>
      </c>
      <c r="P745" t="n">
        <v>0</v>
      </c>
      <c r="Q745" t="n">
        <v>0</v>
      </c>
      <c r="R745" s="2" t="inlineStr"/>
    </row>
    <row r="746" ht="15" customHeight="1">
      <c r="A746" t="inlineStr">
        <is>
          <t>A 7934-2024</t>
        </is>
      </c>
      <c r="B746" s="1" t="n">
        <v>45350.49405092592</v>
      </c>
      <c r="C746" s="1" t="n">
        <v>45983</v>
      </c>
      <c r="D746" t="inlineStr">
        <is>
          <t>HALLANDS LÄN</t>
        </is>
      </c>
      <c r="E746" t="inlineStr">
        <is>
          <t>HYLTE</t>
        </is>
      </c>
      <c r="G746" t="n">
        <v>2.1</v>
      </c>
      <c r="H746" t="n">
        <v>0</v>
      </c>
      <c r="I746" t="n">
        <v>0</v>
      </c>
      <c r="J746" t="n">
        <v>0</v>
      </c>
      <c r="K746" t="n">
        <v>0</v>
      </c>
      <c r="L746" t="n">
        <v>0</v>
      </c>
      <c r="M746" t="n">
        <v>0</v>
      </c>
      <c r="N746" t="n">
        <v>0</v>
      </c>
      <c r="O746" t="n">
        <v>0</v>
      </c>
      <c r="P746" t="n">
        <v>0</v>
      </c>
      <c r="Q746" t="n">
        <v>0</v>
      </c>
      <c r="R746" s="2" t="inlineStr"/>
    </row>
    <row r="747" ht="15" customHeight="1">
      <c r="A747" t="inlineStr">
        <is>
          <t>A 20038-2024</t>
        </is>
      </c>
      <c r="B747" s="1" t="n">
        <v>45434</v>
      </c>
      <c r="C747" s="1" t="n">
        <v>45983</v>
      </c>
      <c r="D747" t="inlineStr">
        <is>
          <t>HALLANDS LÄN</t>
        </is>
      </c>
      <c r="E747" t="inlineStr">
        <is>
          <t>HYLTE</t>
        </is>
      </c>
      <c r="G747" t="n">
        <v>7.5</v>
      </c>
      <c r="H747" t="n">
        <v>0</v>
      </c>
      <c r="I747" t="n">
        <v>0</v>
      </c>
      <c r="J747" t="n">
        <v>0</v>
      </c>
      <c r="K747" t="n">
        <v>0</v>
      </c>
      <c r="L747" t="n">
        <v>0</v>
      </c>
      <c r="M747" t="n">
        <v>0</v>
      </c>
      <c r="N747" t="n">
        <v>0</v>
      </c>
      <c r="O747" t="n">
        <v>0</v>
      </c>
      <c r="P747" t="n">
        <v>0</v>
      </c>
      <c r="Q747" t="n">
        <v>0</v>
      </c>
      <c r="R747" s="2" t="inlineStr"/>
    </row>
    <row r="748" ht="15" customHeight="1">
      <c r="A748" t="inlineStr">
        <is>
          <t>A 53815-2021</t>
        </is>
      </c>
      <c r="B748" s="1" t="n">
        <v>44469.60662037037</v>
      </c>
      <c r="C748" s="1" t="n">
        <v>45983</v>
      </c>
      <c r="D748" t="inlineStr">
        <is>
          <t>HALLANDS LÄN</t>
        </is>
      </c>
      <c r="E748" t="inlineStr">
        <is>
          <t>HYLTE</t>
        </is>
      </c>
      <c r="G748" t="n">
        <v>1.1</v>
      </c>
      <c r="H748" t="n">
        <v>0</v>
      </c>
      <c r="I748" t="n">
        <v>0</v>
      </c>
      <c r="J748" t="n">
        <v>0</v>
      </c>
      <c r="K748" t="n">
        <v>0</v>
      </c>
      <c r="L748" t="n">
        <v>0</v>
      </c>
      <c r="M748" t="n">
        <v>0</v>
      </c>
      <c r="N748" t="n">
        <v>0</v>
      </c>
      <c r="O748" t="n">
        <v>0</v>
      </c>
      <c r="P748" t="n">
        <v>0</v>
      </c>
      <c r="Q748" t="n">
        <v>0</v>
      </c>
      <c r="R748" s="2" t="inlineStr"/>
    </row>
    <row r="749" ht="15" customHeight="1">
      <c r="A749" t="inlineStr">
        <is>
          <t>A 57941-2022</t>
        </is>
      </c>
      <c r="B749" s="1" t="n">
        <v>44900.39731481481</v>
      </c>
      <c r="C749" s="1" t="n">
        <v>45983</v>
      </c>
      <c r="D749" t="inlineStr">
        <is>
          <t>HALLANDS LÄN</t>
        </is>
      </c>
      <c r="E749" t="inlineStr">
        <is>
          <t>HYLTE</t>
        </is>
      </c>
      <c r="G749" t="n">
        <v>4.1</v>
      </c>
      <c r="H749" t="n">
        <v>0</v>
      </c>
      <c r="I749" t="n">
        <v>0</v>
      </c>
      <c r="J749" t="n">
        <v>0</v>
      </c>
      <c r="K749" t="n">
        <v>0</v>
      </c>
      <c r="L749" t="n">
        <v>0</v>
      </c>
      <c r="M749" t="n">
        <v>0</v>
      </c>
      <c r="N749" t="n">
        <v>0</v>
      </c>
      <c r="O749" t="n">
        <v>0</v>
      </c>
      <c r="P749" t="n">
        <v>0</v>
      </c>
      <c r="Q749" t="n">
        <v>0</v>
      </c>
      <c r="R749" s="2" t="inlineStr"/>
    </row>
    <row r="750" ht="15" customHeight="1">
      <c r="A750" t="inlineStr">
        <is>
          <t>A 8912-2024</t>
        </is>
      </c>
      <c r="B750" s="1" t="n">
        <v>45357.36806712963</v>
      </c>
      <c r="C750" s="1" t="n">
        <v>45983</v>
      </c>
      <c r="D750" t="inlineStr">
        <is>
          <t>HALLANDS LÄN</t>
        </is>
      </c>
      <c r="E750" t="inlineStr">
        <is>
          <t>HYLTE</t>
        </is>
      </c>
      <c r="G750" t="n">
        <v>4.5</v>
      </c>
      <c r="H750" t="n">
        <v>0</v>
      </c>
      <c r="I750" t="n">
        <v>0</v>
      </c>
      <c r="J750" t="n">
        <v>0</v>
      </c>
      <c r="K750" t="n">
        <v>0</v>
      </c>
      <c r="L750" t="n">
        <v>0</v>
      </c>
      <c r="M750" t="n">
        <v>0</v>
      </c>
      <c r="N750" t="n">
        <v>0</v>
      </c>
      <c r="O750" t="n">
        <v>0</v>
      </c>
      <c r="P750" t="n">
        <v>0</v>
      </c>
      <c r="Q750" t="n">
        <v>0</v>
      </c>
      <c r="R750" s="2" t="inlineStr"/>
    </row>
    <row r="751" ht="15" customHeight="1">
      <c r="A751" t="inlineStr">
        <is>
          <t>A 11455-2024</t>
        </is>
      </c>
      <c r="B751" s="1" t="n">
        <v>45372.57175925926</v>
      </c>
      <c r="C751" s="1" t="n">
        <v>45983</v>
      </c>
      <c r="D751" t="inlineStr">
        <is>
          <t>HALLANDS LÄN</t>
        </is>
      </c>
      <c r="E751" t="inlineStr">
        <is>
          <t>HYLTE</t>
        </is>
      </c>
      <c r="G751" t="n">
        <v>0.8</v>
      </c>
      <c r="H751" t="n">
        <v>0</v>
      </c>
      <c r="I751" t="n">
        <v>0</v>
      </c>
      <c r="J751" t="n">
        <v>0</v>
      </c>
      <c r="K751" t="n">
        <v>0</v>
      </c>
      <c r="L751" t="n">
        <v>0</v>
      </c>
      <c r="M751" t="n">
        <v>0</v>
      </c>
      <c r="N751" t="n">
        <v>0</v>
      </c>
      <c r="O751" t="n">
        <v>0</v>
      </c>
      <c r="P751" t="n">
        <v>0</v>
      </c>
      <c r="Q751" t="n">
        <v>0</v>
      </c>
      <c r="R751" s="2" t="inlineStr"/>
    </row>
    <row r="752" ht="15" customHeight="1">
      <c r="A752" t="inlineStr">
        <is>
          <t>A 19393-2024</t>
        </is>
      </c>
      <c r="B752" s="1" t="n">
        <v>45429.38091435185</v>
      </c>
      <c r="C752" s="1" t="n">
        <v>45983</v>
      </c>
      <c r="D752" t="inlineStr">
        <is>
          <t>HALLANDS LÄN</t>
        </is>
      </c>
      <c r="E752" t="inlineStr">
        <is>
          <t>HYLTE</t>
        </is>
      </c>
      <c r="G752" t="n">
        <v>4.2</v>
      </c>
      <c r="H752" t="n">
        <v>0</v>
      </c>
      <c r="I752" t="n">
        <v>0</v>
      </c>
      <c r="J752" t="n">
        <v>0</v>
      </c>
      <c r="K752" t="n">
        <v>0</v>
      </c>
      <c r="L752" t="n">
        <v>0</v>
      </c>
      <c r="M752" t="n">
        <v>0</v>
      </c>
      <c r="N752" t="n">
        <v>0</v>
      </c>
      <c r="O752" t="n">
        <v>0</v>
      </c>
      <c r="P752" t="n">
        <v>0</v>
      </c>
      <c r="Q752" t="n">
        <v>0</v>
      </c>
      <c r="R752" s="2" t="inlineStr"/>
    </row>
    <row r="753" ht="15" customHeight="1">
      <c r="A753" t="inlineStr">
        <is>
          <t>A 13096-2023</t>
        </is>
      </c>
      <c r="B753" s="1" t="n">
        <v>45002.44173611111</v>
      </c>
      <c r="C753" s="1" t="n">
        <v>45983</v>
      </c>
      <c r="D753" t="inlineStr">
        <is>
          <t>HALLANDS LÄN</t>
        </is>
      </c>
      <c r="E753" t="inlineStr">
        <is>
          <t>HYLTE</t>
        </is>
      </c>
      <c r="G753" t="n">
        <v>2.1</v>
      </c>
      <c r="H753" t="n">
        <v>0</v>
      </c>
      <c r="I753" t="n">
        <v>0</v>
      </c>
      <c r="J753" t="n">
        <v>0</v>
      </c>
      <c r="K753" t="n">
        <v>0</v>
      </c>
      <c r="L753" t="n">
        <v>0</v>
      </c>
      <c r="M753" t="n">
        <v>0</v>
      </c>
      <c r="N753" t="n">
        <v>0</v>
      </c>
      <c r="O753" t="n">
        <v>0</v>
      </c>
      <c r="P753" t="n">
        <v>0</v>
      </c>
      <c r="Q753" t="n">
        <v>0</v>
      </c>
      <c r="R753" s="2" t="inlineStr"/>
    </row>
    <row r="754" ht="15" customHeight="1">
      <c r="A754" t="inlineStr">
        <is>
          <t>A 4119-2025</t>
        </is>
      </c>
      <c r="B754" s="1" t="n">
        <v>45684.91756944444</v>
      </c>
      <c r="C754" s="1" t="n">
        <v>45983</v>
      </c>
      <c r="D754" t="inlineStr">
        <is>
          <t>HALLANDS LÄN</t>
        </is>
      </c>
      <c r="E754" t="inlineStr">
        <is>
          <t>HYLTE</t>
        </is>
      </c>
      <c r="G754" t="n">
        <v>2.5</v>
      </c>
      <c r="H754" t="n">
        <v>0</v>
      </c>
      <c r="I754" t="n">
        <v>0</v>
      </c>
      <c r="J754" t="n">
        <v>0</v>
      </c>
      <c r="K754" t="n">
        <v>0</v>
      </c>
      <c r="L754" t="n">
        <v>0</v>
      </c>
      <c r="M754" t="n">
        <v>0</v>
      </c>
      <c r="N754" t="n">
        <v>0</v>
      </c>
      <c r="O754" t="n">
        <v>0</v>
      </c>
      <c r="P754" t="n">
        <v>0</v>
      </c>
      <c r="Q754" t="n">
        <v>0</v>
      </c>
      <c r="R754" s="2" t="inlineStr"/>
    </row>
    <row r="755" ht="15" customHeight="1">
      <c r="A755" t="inlineStr">
        <is>
          <t>A 6793-2024</t>
        </is>
      </c>
      <c r="B755" s="1" t="n">
        <v>45342</v>
      </c>
      <c r="C755" s="1" t="n">
        <v>45983</v>
      </c>
      <c r="D755" t="inlineStr">
        <is>
          <t>HALLANDS LÄN</t>
        </is>
      </c>
      <c r="E755" t="inlineStr">
        <is>
          <t>HYLTE</t>
        </is>
      </c>
      <c r="F755" t="inlineStr">
        <is>
          <t>Bergvik skog väst AB</t>
        </is>
      </c>
      <c r="G755" t="n">
        <v>2.6</v>
      </c>
      <c r="H755" t="n">
        <v>0</v>
      </c>
      <c r="I755" t="n">
        <v>0</v>
      </c>
      <c r="J755" t="n">
        <v>0</v>
      </c>
      <c r="K755" t="n">
        <v>0</v>
      </c>
      <c r="L755" t="n">
        <v>0</v>
      </c>
      <c r="M755" t="n">
        <v>0</v>
      </c>
      <c r="N755" t="n">
        <v>0</v>
      </c>
      <c r="O755" t="n">
        <v>0</v>
      </c>
      <c r="P755" t="n">
        <v>0</v>
      </c>
      <c r="Q755" t="n">
        <v>0</v>
      </c>
      <c r="R755" s="2" t="inlineStr"/>
    </row>
    <row r="756" ht="15" customHeight="1">
      <c r="A756" t="inlineStr">
        <is>
          <t>A 28491-2024</t>
        </is>
      </c>
      <c r="B756" s="1" t="n">
        <v>45477.83650462963</v>
      </c>
      <c r="C756" s="1" t="n">
        <v>45983</v>
      </c>
      <c r="D756" t="inlineStr">
        <is>
          <t>HALLANDS LÄN</t>
        </is>
      </c>
      <c r="E756" t="inlineStr">
        <is>
          <t>HYLTE</t>
        </is>
      </c>
      <c r="G756" t="n">
        <v>2.7</v>
      </c>
      <c r="H756" t="n">
        <v>0</v>
      </c>
      <c r="I756" t="n">
        <v>0</v>
      </c>
      <c r="J756" t="n">
        <v>0</v>
      </c>
      <c r="K756" t="n">
        <v>0</v>
      </c>
      <c r="L756" t="n">
        <v>0</v>
      </c>
      <c r="M756" t="n">
        <v>0</v>
      </c>
      <c r="N756" t="n">
        <v>0</v>
      </c>
      <c r="O756" t="n">
        <v>0</v>
      </c>
      <c r="P756" t="n">
        <v>0</v>
      </c>
      <c r="Q756" t="n">
        <v>0</v>
      </c>
      <c r="R756" s="2" t="inlineStr"/>
    </row>
    <row r="757" ht="15" customHeight="1">
      <c r="A757" t="inlineStr">
        <is>
          <t>A 11175-2024</t>
        </is>
      </c>
      <c r="B757" s="1" t="n">
        <v>45371.50951388889</v>
      </c>
      <c r="C757" s="1" t="n">
        <v>45983</v>
      </c>
      <c r="D757" t="inlineStr">
        <is>
          <t>HALLANDS LÄN</t>
        </is>
      </c>
      <c r="E757" t="inlineStr">
        <is>
          <t>HYLTE</t>
        </is>
      </c>
      <c r="G757" t="n">
        <v>0.7</v>
      </c>
      <c r="H757" t="n">
        <v>0</v>
      </c>
      <c r="I757" t="n">
        <v>0</v>
      </c>
      <c r="J757" t="n">
        <v>0</v>
      </c>
      <c r="K757" t="n">
        <v>0</v>
      </c>
      <c r="L757" t="n">
        <v>0</v>
      </c>
      <c r="M757" t="n">
        <v>0</v>
      </c>
      <c r="N757" t="n">
        <v>0</v>
      </c>
      <c r="O757" t="n">
        <v>0</v>
      </c>
      <c r="P757" t="n">
        <v>0</v>
      </c>
      <c r="Q757" t="n">
        <v>0</v>
      </c>
      <c r="R757" s="2" t="inlineStr"/>
    </row>
    <row r="758" ht="15" customHeight="1">
      <c r="A758" t="inlineStr">
        <is>
          <t>A 4225-2023</t>
        </is>
      </c>
      <c r="B758" s="1" t="n">
        <v>44953.47414351852</v>
      </c>
      <c r="C758" s="1" t="n">
        <v>45983</v>
      </c>
      <c r="D758" t="inlineStr">
        <is>
          <t>HALLANDS LÄN</t>
        </is>
      </c>
      <c r="E758" t="inlineStr">
        <is>
          <t>HYLTE</t>
        </is>
      </c>
      <c r="G758" t="n">
        <v>0.5</v>
      </c>
      <c r="H758" t="n">
        <v>0</v>
      </c>
      <c r="I758" t="n">
        <v>0</v>
      </c>
      <c r="J758" t="n">
        <v>0</v>
      </c>
      <c r="K758" t="n">
        <v>0</v>
      </c>
      <c r="L758" t="n">
        <v>0</v>
      </c>
      <c r="M758" t="n">
        <v>0</v>
      </c>
      <c r="N758" t="n">
        <v>0</v>
      </c>
      <c r="O758" t="n">
        <v>0</v>
      </c>
      <c r="P758" t="n">
        <v>0</v>
      </c>
      <c r="Q758" t="n">
        <v>0</v>
      </c>
      <c r="R758" s="2" t="inlineStr"/>
    </row>
    <row r="759" ht="15" customHeight="1">
      <c r="A759" t="inlineStr">
        <is>
          <t>A 58453-2024</t>
        </is>
      </c>
      <c r="B759" s="1" t="n">
        <v>45635.35322916666</v>
      </c>
      <c r="C759" s="1" t="n">
        <v>45983</v>
      </c>
      <c r="D759" t="inlineStr">
        <is>
          <t>HALLANDS LÄN</t>
        </is>
      </c>
      <c r="E759" t="inlineStr">
        <is>
          <t>HYLTE</t>
        </is>
      </c>
      <c r="G759" t="n">
        <v>3.4</v>
      </c>
      <c r="H759" t="n">
        <v>0</v>
      </c>
      <c r="I759" t="n">
        <v>0</v>
      </c>
      <c r="J759" t="n">
        <v>0</v>
      </c>
      <c r="K759" t="n">
        <v>0</v>
      </c>
      <c r="L759" t="n">
        <v>0</v>
      </c>
      <c r="M759" t="n">
        <v>0</v>
      </c>
      <c r="N759" t="n">
        <v>0</v>
      </c>
      <c r="O759" t="n">
        <v>0</v>
      </c>
      <c r="P759" t="n">
        <v>0</v>
      </c>
      <c r="Q759" t="n">
        <v>0</v>
      </c>
      <c r="R759" s="2" t="inlineStr"/>
    </row>
    <row r="760" ht="15" customHeight="1">
      <c r="A760" t="inlineStr">
        <is>
          <t>A 56066-2024</t>
        </is>
      </c>
      <c r="B760" s="1" t="n">
        <v>45624.37628472222</v>
      </c>
      <c r="C760" s="1" t="n">
        <v>45983</v>
      </c>
      <c r="D760" t="inlineStr">
        <is>
          <t>HALLANDS LÄN</t>
        </is>
      </c>
      <c r="E760" t="inlineStr">
        <is>
          <t>HYLTE</t>
        </is>
      </c>
      <c r="G760" t="n">
        <v>0.9</v>
      </c>
      <c r="H760" t="n">
        <v>0</v>
      </c>
      <c r="I760" t="n">
        <v>0</v>
      </c>
      <c r="J760" t="n">
        <v>0</v>
      </c>
      <c r="K760" t="n">
        <v>0</v>
      </c>
      <c r="L760" t="n">
        <v>0</v>
      </c>
      <c r="M760" t="n">
        <v>0</v>
      </c>
      <c r="N760" t="n">
        <v>0</v>
      </c>
      <c r="O760" t="n">
        <v>0</v>
      </c>
      <c r="P760" t="n">
        <v>0</v>
      </c>
      <c r="Q760" t="n">
        <v>0</v>
      </c>
      <c r="R760" s="2" t="inlineStr"/>
    </row>
    <row r="761" ht="15" customHeight="1">
      <c r="A761" t="inlineStr">
        <is>
          <t>A 40348-2023</t>
        </is>
      </c>
      <c r="B761" s="1" t="n">
        <v>45169.63672453703</v>
      </c>
      <c r="C761" s="1" t="n">
        <v>45983</v>
      </c>
      <c r="D761" t="inlineStr">
        <is>
          <t>HALLANDS LÄN</t>
        </is>
      </c>
      <c r="E761" t="inlineStr">
        <is>
          <t>HYLTE</t>
        </is>
      </c>
      <c r="G761" t="n">
        <v>3.1</v>
      </c>
      <c r="H761" t="n">
        <v>0</v>
      </c>
      <c r="I761" t="n">
        <v>0</v>
      </c>
      <c r="J761" t="n">
        <v>0</v>
      </c>
      <c r="K761" t="n">
        <v>0</v>
      </c>
      <c r="L761" t="n">
        <v>0</v>
      </c>
      <c r="M761" t="n">
        <v>0</v>
      </c>
      <c r="N761" t="n">
        <v>0</v>
      </c>
      <c r="O761" t="n">
        <v>0</v>
      </c>
      <c r="P761" t="n">
        <v>0</v>
      </c>
      <c r="Q761" t="n">
        <v>0</v>
      </c>
      <c r="R761" s="2" t="inlineStr"/>
    </row>
    <row r="762" ht="15" customHeight="1">
      <c r="A762" t="inlineStr">
        <is>
          <t>A 53294-2023</t>
        </is>
      </c>
      <c r="B762" s="1" t="n">
        <v>45229.58723379629</v>
      </c>
      <c r="C762" s="1" t="n">
        <v>45983</v>
      </c>
      <c r="D762" t="inlineStr">
        <is>
          <t>HALLANDS LÄN</t>
        </is>
      </c>
      <c r="E762" t="inlineStr">
        <is>
          <t>HYLTE</t>
        </is>
      </c>
      <c r="G762" t="n">
        <v>1.8</v>
      </c>
      <c r="H762" t="n">
        <v>0</v>
      </c>
      <c r="I762" t="n">
        <v>0</v>
      </c>
      <c r="J762" t="n">
        <v>0</v>
      </c>
      <c r="K762" t="n">
        <v>0</v>
      </c>
      <c r="L762" t="n">
        <v>0</v>
      </c>
      <c r="M762" t="n">
        <v>0</v>
      </c>
      <c r="N762" t="n">
        <v>0</v>
      </c>
      <c r="O762" t="n">
        <v>0</v>
      </c>
      <c r="P762" t="n">
        <v>0</v>
      </c>
      <c r="Q762" t="n">
        <v>0</v>
      </c>
      <c r="R762" s="2" t="inlineStr"/>
    </row>
    <row r="763" ht="15" customHeight="1">
      <c r="A763" t="inlineStr">
        <is>
          <t>A 19598-2025</t>
        </is>
      </c>
      <c r="B763" s="1" t="n">
        <v>45770.58293981481</v>
      </c>
      <c r="C763" s="1" t="n">
        <v>45983</v>
      </c>
      <c r="D763" t="inlineStr">
        <is>
          <t>HALLANDS LÄN</t>
        </is>
      </c>
      <c r="E763" t="inlineStr">
        <is>
          <t>HYLTE</t>
        </is>
      </c>
      <c r="G763" t="n">
        <v>0.5</v>
      </c>
      <c r="H763" t="n">
        <v>0</v>
      </c>
      <c r="I763" t="n">
        <v>0</v>
      </c>
      <c r="J763" t="n">
        <v>0</v>
      </c>
      <c r="K763" t="n">
        <v>0</v>
      </c>
      <c r="L763" t="n">
        <v>0</v>
      </c>
      <c r="M763" t="n">
        <v>0</v>
      </c>
      <c r="N763" t="n">
        <v>0</v>
      </c>
      <c r="O763" t="n">
        <v>0</v>
      </c>
      <c r="P763" t="n">
        <v>0</v>
      </c>
      <c r="Q763" t="n">
        <v>0</v>
      </c>
      <c r="R763" s="2" t="inlineStr"/>
    </row>
    <row r="764" ht="15" customHeight="1">
      <c r="A764" t="inlineStr">
        <is>
          <t>A 2590-2025</t>
        </is>
      </c>
      <c r="B764" s="1" t="n">
        <v>45674.69728009259</v>
      </c>
      <c r="C764" s="1" t="n">
        <v>45983</v>
      </c>
      <c r="D764" t="inlineStr">
        <is>
          <t>HALLANDS LÄN</t>
        </is>
      </c>
      <c r="E764" t="inlineStr">
        <is>
          <t>HYLTE</t>
        </is>
      </c>
      <c r="G764" t="n">
        <v>3.6</v>
      </c>
      <c r="H764" t="n">
        <v>0</v>
      </c>
      <c r="I764" t="n">
        <v>0</v>
      </c>
      <c r="J764" t="n">
        <v>0</v>
      </c>
      <c r="K764" t="n">
        <v>0</v>
      </c>
      <c r="L764" t="n">
        <v>0</v>
      </c>
      <c r="M764" t="n">
        <v>0</v>
      </c>
      <c r="N764" t="n">
        <v>0</v>
      </c>
      <c r="O764" t="n">
        <v>0</v>
      </c>
      <c r="P764" t="n">
        <v>0</v>
      </c>
      <c r="Q764" t="n">
        <v>0</v>
      </c>
      <c r="R764" s="2" t="inlineStr"/>
    </row>
    <row r="765" ht="15" customHeight="1">
      <c r="A765" t="inlineStr">
        <is>
          <t>A 17381-2023</t>
        </is>
      </c>
      <c r="B765" s="1" t="n">
        <v>45035.65569444445</v>
      </c>
      <c r="C765" s="1" t="n">
        <v>45983</v>
      </c>
      <c r="D765" t="inlineStr">
        <is>
          <t>HALLANDS LÄN</t>
        </is>
      </c>
      <c r="E765" t="inlineStr">
        <is>
          <t>HYLTE</t>
        </is>
      </c>
      <c r="G765" t="n">
        <v>1.8</v>
      </c>
      <c r="H765" t="n">
        <v>0</v>
      </c>
      <c r="I765" t="n">
        <v>0</v>
      </c>
      <c r="J765" t="n">
        <v>0</v>
      </c>
      <c r="K765" t="n">
        <v>0</v>
      </c>
      <c r="L765" t="n">
        <v>0</v>
      </c>
      <c r="M765" t="n">
        <v>0</v>
      </c>
      <c r="N765" t="n">
        <v>0</v>
      </c>
      <c r="O765" t="n">
        <v>0</v>
      </c>
      <c r="P765" t="n">
        <v>0</v>
      </c>
      <c r="Q765" t="n">
        <v>0</v>
      </c>
      <c r="R765" s="2" t="inlineStr"/>
    </row>
    <row r="766" ht="15" customHeight="1">
      <c r="A766" t="inlineStr">
        <is>
          <t>A 11941-2022</t>
        </is>
      </c>
      <c r="B766" s="1" t="n">
        <v>44635.56521990741</v>
      </c>
      <c r="C766" s="1" t="n">
        <v>45983</v>
      </c>
      <c r="D766" t="inlineStr">
        <is>
          <t>HALLANDS LÄN</t>
        </is>
      </c>
      <c r="E766" t="inlineStr">
        <is>
          <t>HYLTE</t>
        </is>
      </c>
      <c r="F766" t="inlineStr">
        <is>
          <t>Bergvik skog väst AB</t>
        </is>
      </c>
      <c r="G766" t="n">
        <v>2.7</v>
      </c>
      <c r="H766" t="n">
        <v>0</v>
      </c>
      <c r="I766" t="n">
        <v>0</v>
      </c>
      <c r="J766" t="n">
        <v>0</v>
      </c>
      <c r="K766" t="n">
        <v>0</v>
      </c>
      <c r="L766" t="n">
        <v>0</v>
      </c>
      <c r="M766" t="n">
        <v>0</v>
      </c>
      <c r="N766" t="n">
        <v>0</v>
      </c>
      <c r="O766" t="n">
        <v>0</v>
      </c>
      <c r="P766" t="n">
        <v>0</v>
      </c>
      <c r="Q766" t="n">
        <v>0</v>
      </c>
      <c r="R766" s="2" t="inlineStr"/>
    </row>
    <row r="767" ht="15" customHeight="1">
      <c r="A767" t="inlineStr">
        <is>
          <t>A 6598-2025</t>
        </is>
      </c>
      <c r="B767" s="1" t="n">
        <v>45700.31716435185</v>
      </c>
      <c r="C767" s="1" t="n">
        <v>45983</v>
      </c>
      <c r="D767" t="inlineStr">
        <is>
          <t>HALLANDS LÄN</t>
        </is>
      </c>
      <c r="E767" t="inlineStr">
        <is>
          <t>HYLTE</t>
        </is>
      </c>
      <c r="G767" t="n">
        <v>0.6</v>
      </c>
      <c r="H767" t="n">
        <v>0</v>
      </c>
      <c r="I767" t="n">
        <v>0</v>
      </c>
      <c r="J767" t="n">
        <v>0</v>
      </c>
      <c r="K767" t="n">
        <v>0</v>
      </c>
      <c r="L767" t="n">
        <v>0</v>
      </c>
      <c r="M767" t="n">
        <v>0</v>
      </c>
      <c r="N767" t="n">
        <v>0</v>
      </c>
      <c r="O767" t="n">
        <v>0</v>
      </c>
      <c r="P767" t="n">
        <v>0</v>
      </c>
      <c r="Q767" t="n">
        <v>0</v>
      </c>
      <c r="R767" s="2" t="inlineStr"/>
    </row>
    <row r="768" ht="15" customHeight="1">
      <c r="A768" t="inlineStr">
        <is>
          <t>A 13943-2025</t>
        </is>
      </c>
      <c r="B768" s="1" t="n">
        <v>45737.71179398148</v>
      </c>
      <c r="C768" s="1" t="n">
        <v>45983</v>
      </c>
      <c r="D768" t="inlineStr">
        <is>
          <t>HALLANDS LÄN</t>
        </is>
      </c>
      <c r="E768" t="inlineStr">
        <is>
          <t>HYLTE</t>
        </is>
      </c>
      <c r="G768" t="n">
        <v>2.9</v>
      </c>
      <c r="H768" t="n">
        <v>0</v>
      </c>
      <c r="I768" t="n">
        <v>0</v>
      </c>
      <c r="J768" t="n">
        <v>0</v>
      </c>
      <c r="K768" t="n">
        <v>0</v>
      </c>
      <c r="L768" t="n">
        <v>0</v>
      </c>
      <c r="M768" t="n">
        <v>0</v>
      </c>
      <c r="N768" t="n">
        <v>0</v>
      </c>
      <c r="O768" t="n">
        <v>0</v>
      </c>
      <c r="P768" t="n">
        <v>0</v>
      </c>
      <c r="Q768" t="n">
        <v>0</v>
      </c>
      <c r="R768" s="2" t="inlineStr"/>
    </row>
    <row r="769" ht="15" customHeight="1">
      <c r="A769" t="inlineStr">
        <is>
          <t>A 24605-2023</t>
        </is>
      </c>
      <c r="B769" s="1" t="n">
        <v>45084</v>
      </c>
      <c r="C769" s="1" t="n">
        <v>45983</v>
      </c>
      <c r="D769" t="inlineStr">
        <is>
          <t>HALLANDS LÄN</t>
        </is>
      </c>
      <c r="E769" t="inlineStr">
        <is>
          <t>HYLTE</t>
        </is>
      </c>
      <c r="G769" t="n">
        <v>0.5</v>
      </c>
      <c r="H769" t="n">
        <v>0</v>
      </c>
      <c r="I769" t="n">
        <v>0</v>
      </c>
      <c r="J769" t="n">
        <v>0</v>
      </c>
      <c r="K769" t="n">
        <v>0</v>
      </c>
      <c r="L769" t="n">
        <v>0</v>
      </c>
      <c r="M769" t="n">
        <v>0</v>
      </c>
      <c r="N769" t="n">
        <v>0</v>
      </c>
      <c r="O769" t="n">
        <v>0</v>
      </c>
      <c r="P769" t="n">
        <v>0</v>
      </c>
      <c r="Q769" t="n">
        <v>0</v>
      </c>
      <c r="R769" s="2" t="inlineStr"/>
    </row>
    <row r="770" ht="15" customHeight="1">
      <c r="A770" t="inlineStr">
        <is>
          <t>A 53306-2023</t>
        </is>
      </c>
      <c r="B770" s="1" t="n">
        <v>45229.59815972222</v>
      </c>
      <c r="C770" s="1" t="n">
        <v>45983</v>
      </c>
      <c r="D770" t="inlineStr">
        <is>
          <t>HALLANDS LÄN</t>
        </is>
      </c>
      <c r="E770" t="inlineStr">
        <is>
          <t>HYLTE</t>
        </is>
      </c>
      <c r="G770" t="n">
        <v>1.9</v>
      </c>
      <c r="H770" t="n">
        <v>0</v>
      </c>
      <c r="I770" t="n">
        <v>0</v>
      </c>
      <c r="J770" t="n">
        <v>0</v>
      </c>
      <c r="K770" t="n">
        <v>0</v>
      </c>
      <c r="L770" t="n">
        <v>0</v>
      </c>
      <c r="M770" t="n">
        <v>0</v>
      </c>
      <c r="N770" t="n">
        <v>0</v>
      </c>
      <c r="O770" t="n">
        <v>0</v>
      </c>
      <c r="P770" t="n">
        <v>0</v>
      </c>
      <c r="Q770" t="n">
        <v>0</v>
      </c>
      <c r="R770" s="2" t="inlineStr"/>
    </row>
    <row r="771" ht="15" customHeight="1">
      <c r="A771" t="inlineStr">
        <is>
          <t>A 58995-2023</t>
        </is>
      </c>
      <c r="B771" s="1" t="n">
        <v>45252</v>
      </c>
      <c r="C771" s="1" t="n">
        <v>45983</v>
      </c>
      <c r="D771" t="inlineStr">
        <is>
          <t>HALLANDS LÄN</t>
        </is>
      </c>
      <c r="E771" t="inlineStr">
        <is>
          <t>HYLTE</t>
        </is>
      </c>
      <c r="G771" t="n">
        <v>2.7</v>
      </c>
      <c r="H771" t="n">
        <v>0</v>
      </c>
      <c r="I771" t="n">
        <v>0</v>
      </c>
      <c r="J771" t="n">
        <v>0</v>
      </c>
      <c r="K771" t="n">
        <v>0</v>
      </c>
      <c r="L771" t="n">
        <v>0</v>
      </c>
      <c r="M771" t="n">
        <v>0</v>
      </c>
      <c r="N771" t="n">
        <v>0</v>
      </c>
      <c r="O771" t="n">
        <v>0</v>
      </c>
      <c r="P771" t="n">
        <v>0</v>
      </c>
      <c r="Q771" t="n">
        <v>0</v>
      </c>
      <c r="R771" s="2" t="inlineStr"/>
    </row>
    <row r="772" ht="15" customHeight="1">
      <c r="A772" t="inlineStr">
        <is>
          <t>A 29167-2022</t>
        </is>
      </c>
      <c r="B772" s="1" t="n">
        <v>44750.51511574074</v>
      </c>
      <c r="C772" s="1" t="n">
        <v>45983</v>
      </c>
      <c r="D772" t="inlineStr">
        <is>
          <t>HALLANDS LÄN</t>
        </is>
      </c>
      <c r="E772" t="inlineStr">
        <is>
          <t>HYLTE</t>
        </is>
      </c>
      <c r="G772" t="n">
        <v>2.2</v>
      </c>
      <c r="H772" t="n">
        <v>0</v>
      </c>
      <c r="I772" t="n">
        <v>0</v>
      </c>
      <c r="J772" t="n">
        <v>0</v>
      </c>
      <c r="K772" t="n">
        <v>0</v>
      </c>
      <c r="L772" t="n">
        <v>0</v>
      </c>
      <c r="M772" t="n">
        <v>0</v>
      </c>
      <c r="N772" t="n">
        <v>0</v>
      </c>
      <c r="O772" t="n">
        <v>0</v>
      </c>
      <c r="P772" t="n">
        <v>0</v>
      </c>
      <c r="Q772" t="n">
        <v>0</v>
      </c>
      <c r="R772" s="2" t="inlineStr"/>
    </row>
    <row r="773" ht="15" customHeight="1">
      <c r="A773" t="inlineStr">
        <is>
          <t>A 13655-2021</t>
        </is>
      </c>
      <c r="B773" s="1" t="n">
        <v>44274.45173611111</v>
      </c>
      <c r="C773" s="1" t="n">
        <v>45983</v>
      </c>
      <c r="D773" t="inlineStr">
        <is>
          <t>HALLANDS LÄN</t>
        </is>
      </c>
      <c r="E773" t="inlineStr">
        <is>
          <t>HYLTE</t>
        </is>
      </c>
      <c r="G773" t="n">
        <v>0.3</v>
      </c>
      <c r="H773" t="n">
        <v>0</v>
      </c>
      <c r="I773" t="n">
        <v>0</v>
      </c>
      <c r="J773" t="n">
        <v>0</v>
      </c>
      <c r="K773" t="n">
        <v>0</v>
      </c>
      <c r="L773" t="n">
        <v>0</v>
      </c>
      <c r="M773" t="n">
        <v>0</v>
      </c>
      <c r="N773" t="n">
        <v>0</v>
      </c>
      <c r="O773" t="n">
        <v>0</v>
      </c>
      <c r="P773" t="n">
        <v>0</v>
      </c>
      <c r="Q773" t="n">
        <v>0</v>
      </c>
      <c r="R773" s="2" t="inlineStr"/>
    </row>
    <row r="774" ht="15" customHeight="1">
      <c r="A774" t="inlineStr">
        <is>
          <t>A 10508-2024</t>
        </is>
      </c>
      <c r="B774" s="1" t="n">
        <v>45368</v>
      </c>
      <c r="C774" s="1" t="n">
        <v>45983</v>
      </c>
      <c r="D774" t="inlineStr">
        <is>
          <t>HALLANDS LÄN</t>
        </is>
      </c>
      <c r="E774" t="inlineStr">
        <is>
          <t>HYLTE</t>
        </is>
      </c>
      <c r="F774" t="inlineStr">
        <is>
          <t>Kyrkan</t>
        </is>
      </c>
      <c r="G774" t="n">
        <v>2.3</v>
      </c>
      <c r="H774" t="n">
        <v>0</v>
      </c>
      <c r="I774" t="n">
        <v>0</v>
      </c>
      <c r="J774" t="n">
        <v>0</v>
      </c>
      <c r="K774" t="n">
        <v>0</v>
      </c>
      <c r="L774" t="n">
        <v>0</v>
      </c>
      <c r="M774" t="n">
        <v>0</v>
      </c>
      <c r="N774" t="n">
        <v>0</v>
      </c>
      <c r="O774" t="n">
        <v>0</v>
      </c>
      <c r="P774" t="n">
        <v>0</v>
      </c>
      <c r="Q774" t="n">
        <v>0</v>
      </c>
      <c r="R774" s="2" t="inlineStr"/>
    </row>
    <row r="775" ht="15" customHeight="1">
      <c r="A775" t="inlineStr">
        <is>
          <t>A 56496-2022</t>
        </is>
      </c>
      <c r="B775" s="1" t="n">
        <v>44893</v>
      </c>
      <c r="C775" s="1" t="n">
        <v>45983</v>
      </c>
      <c r="D775" t="inlineStr">
        <is>
          <t>HALLANDS LÄN</t>
        </is>
      </c>
      <c r="E775" t="inlineStr">
        <is>
          <t>HYLTE</t>
        </is>
      </c>
      <c r="G775" t="n">
        <v>0.6</v>
      </c>
      <c r="H775" t="n">
        <v>0</v>
      </c>
      <c r="I775" t="n">
        <v>0</v>
      </c>
      <c r="J775" t="n">
        <v>0</v>
      </c>
      <c r="K775" t="n">
        <v>0</v>
      </c>
      <c r="L775" t="n">
        <v>0</v>
      </c>
      <c r="M775" t="n">
        <v>0</v>
      </c>
      <c r="N775" t="n">
        <v>0</v>
      </c>
      <c r="O775" t="n">
        <v>0</v>
      </c>
      <c r="P775" t="n">
        <v>0</v>
      </c>
      <c r="Q775" t="n">
        <v>0</v>
      </c>
      <c r="R775" s="2" t="inlineStr"/>
    </row>
    <row r="776" ht="15" customHeight="1">
      <c r="A776" t="inlineStr">
        <is>
          <t>A 37469-2024</t>
        </is>
      </c>
      <c r="B776" s="1" t="n">
        <v>45540</v>
      </c>
      <c r="C776" s="1" t="n">
        <v>45983</v>
      </c>
      <c r="D776" t="inlineStr">
        <is>
          <t>HALLANDS LÄN</t>
        </is>
      </c>
      <c r="E776" t="inlineStr">
        <is>
          <t>HYLTE</t>
        </is>
      </c>
      <c r="G776" t="n">
        <v>5.8</v>
      </c>
      <c r="H776" t="n">
        <v>0</v>
      </c>
      <c r="I776" t="n">
        <v>0</v>
      </c>
      <c r="J776" t="n">
        <v>0</v>
      </c>
      <c r="K776" t="n">
        <v>0</v>
      </c>
      <c r="L776" t="n">
        <v>0</v>
      </c>
      <c r="M776" t="n">
        <v>0</v>
      </c>
      <c r="N776" t="n">
        <v>0</v>
      </c>
      <c r="O776" t="n">
        <v>0</v>
      </c>
      <c r="P776" t="n">
        <v>0</v>
      </c>
      <c r="Q776" t="n">
        <v>0</v>
      </c>
      <c r="R776" s="2" t="inlineStr"/>
    </row>
    <row r="777" ht="15" customHeight="1">
      <c r="A777" t="inlineStr">
        <is>
          <t>A 37661-2024</t>
        </is>
      </c>
      <c r="B777" s="1" t="n">
        <v>45541</v>
      </c>
      <c r="C777" s="1" t="n">
        <v>45983</v>
      </c>
      <c r="D777" t="inlineStr">
        <is>
          <t>HALLANDS LÄN</t>
        </is>
      </c>
      <c r="E777" t="inlineStr">
        <is>
          <t>HYLTE</t>
        </is>
      </c>
      <c r="G777" t="n">
        <v>0.5</v>
      </c>
      <c r="H777" t="n">
        <v>0</v>
      </c>
      <c r="I777" t="n">
        <v>0</v>
      </c>
      <c r="J777" t="n">
        <v>0</v>
      </c>
      <c r="K777" t="n">
        <v>0</v>
      </c>
      <c r="L777" t="n">
        <v>0</v>
      </c>
      <c r="M777" t="n">
        <v>0</v>
      </c>
      <c r="N777" t="n">
        <v>0</v>
      </c>
      <c r="O777" t="n">
        <v>0</v>
      </c>
      <c r="P777" t="n">
        <v>0</v>
      </c>
      <c r="Q777" t="n">
        <v>0</v>
      </c>
      <c r="R777" s="2" t="inlineStr"/>
    </row>
    <row r="778" ht="15" customHeight="1">
      <c r="A778" t="inlineStr">
        <is>
          <t>A 35041-2024</t>
        </is>
      </c>
      <c r="B778" s="1" t="n">
        <v>45527</v>
      </c>
      <c r="C778" s="1" t="n">
        <v>45983</v>
      </c>
      <c r="D778" t="inlineStr">
        <is>
          <t>HALLANDS LÄN</t>
        </is>
      </c>
      <c r="E778" t="inlineStr">
        <is>
          <t>HYLTE</t>
        </is>
      </c>
      <c r="G778" t="n">
        <v>1</v>
      </c>
      <c r="H778" t="n">
        <v>0</v>
      </c>
      <c r="I778" t="n">
        <v>0</v>
      </c>
      <c r="J778" t="n">
        <v>0</v>
      </c>
      <c r="K778" t="n">
        <v>0</v>
      </c>
      <c r="L778" t="n">
        <v>0</v>
      </c>
      <c r="M778" t="n">
        <v>0</v>
      </c>
      <c r="N778" t="n">
        <v>0</v>
      </c>
      <c r="O778" t="n">
        <v>0</v>
      </c>
      <c r="P778" t="n">
        <v>0</v>
      </c>
      <c r="Q778" t="n">
        <v>0</v>
      </c>
      <c r="R778" s="2" t="inlineStr"/>
    </row>
    <row r="779" ht="15" customHeight="1">
      <c r="A779" t="inlineStr">
        <is>
          <t>A 21284-2023</t>
        </is>
      </c>
      <c r="B779" s="1" t="n">
        <v>45062.64271990741</v>
      </c>
      <c r="C779" s="1" t="n">
        <v>45983</v>
      </c>
      <c r="D779" t="inlineStr">
        <is>
          <t>HALLANDS LÄN</t>
        </is>
      </c>
      <c r="E779" t="inlineStr">
        <is>
          <t>HYLTE</t>
        </is>
      </c>
      <c r="G779" t="n">
        <v>0.5</v>
      </c>
      <c r="H779" t="n">
        <v>0</v>
      </c>
      <c r="I779" t="n">
        <v>0</v>
      </c>
      <c r="J779" t="n">
        <v>0</v>
      </c>
      <c r="K779" t="n">
        <v>0</v>
      </c>
      <c r="L779" t="n">
        <v>0</v>
      </c>
      <c r="M779" t="n">
        <v>0</v>
      </c>
      <c r="N779" t="n">
        <v>0</v>
      </c>
      <c r="O779" t="n">
        <v>0</v>
      </c>
      <c r="P779" t="n">
        <v>0</v>
      </c>
      <c r="Q779" t="n">
        <v>0</v>
      </c>
      <c r="R779" s="2" t="inlineStr"/>
    </row>
    <row r="780" ht="15" customHeight="1">
      <c r="A780" t="inlineStr">
        <is>
          <t>A 18153-2021</t>
        </is>
      </c>
      <c r="B780" s="1" t="n">
        <v>44302</v>
      </c>
      <c r="C780" s="1" t="n">
        <v>45983</v>
      </c>
      <c r="D780" t="inlineStr">
        <is>
          <t>HALLANDS LÄN</t>
        </is>
      </c>
      <c r="E780" t="inlineStr">
        <is>
          <t>HYLTE</t>
        </is>
      </c>
      <c r="G780" t="n">
        <v>5.3</v>
      </c>
      <c r="H780" t="n">
        <v>0</v>
      </c>
      <c r="I780" t="n">
        <v>0</v>
      </c>
      <c r="J780" t="n">
        <v>0</v>
      </c>
      <c r="K780" t="n">
        <v>0</v>
      </c>
      <c r="L780" t="n">
        <v>0</v>
      </c>
      <c r="M780" t="n">
        <v>0</v>
      </c>
      <c r="N780" t="n">
        <v>0</v>
      </c>
      <c r="O780" t="n">
        <v>0</v>
      </c>
      <c r="P780" t="n">
        <v>0</v>
      </c>
      <c r="Q780" t="n">
        <v>0</v>
      </c>
      <c r="R780" s="2" t="inlineStr"/>
    </row>
    <row r="781" ht="15" customHeight="1">
      <c r="A781" t="inlineStr">
        <is>
          <t>A 11178-2024</t>
        </is>
      </c>
      <c r="B781" s="1" t="n">
        <v>45371.52128472222</v>
      </c>
      <c r="C781" s="1" t="n">
        <v>45983</v>
      </c>
      <c r="D781" t="inlineStr">
        <is>
          <t>HALLANDS LÄN</t>
        </is>
      </c>
      <c r="E781" t="inlineStr">
        <is>
          <t>HYLTE</t>
        </is>
      </c>
      <c r="G781" t="n">
        <v>1.1</v>
      </c>
      <c r="H781" t="n">
        <v>0</v>
      </c>
      <c r="I781" t="n">
        <v>0</v>
      </c>
      <c r="J781" t="n">
        <v>0</v>
      </c>
      <c r="K781" t="n">
        <v>0</v>
      </c>
      <c r="L781" t="n">
        <v>0</v>
      </c>
      <c r="M781" t="n">
        <v>0</v>
      </c>
      <c r="N781" t="n">
        <v>0</v>
      </c>
      <c r="O781" t="n">
        <v>0</v>
      </c>
      <c r="P781" t="n">
        <v>0</v>
      </c>
      <c r="Q781" t="n">
        <v>0</v>
      </c>
      <c r="R781" s="2" t="inlineStr"/>
    </row>
    <row r="782" ht="15" customHeight="1">
      <c r="A782" t="inlineStr">
        <is>
          <t>A 26273-2021</t>
        </is>
      </c>
      <c r="B782" s="1" t="n">
        <v>44347.51603009259</v>
      </c>
      <c r="C782" s="1" t="n">
        <v>45983</v>
      </c>
      <c r="D782" t="inlineStr">
        <is>
          <t>HALLANDS LÄN</t>
        </is>
      </c>
      <c r="E782" t="inlineStr">
        <is>
          <t>HYLTE</t>
        </is>
      </c>
      <c r="G782" t="n">
        <v>4.2</v>
      </c>
      <c r="H782" t="n">
        <v>0</v>
      </c>
      <c r="I782" t="n">
        <v>0</v>
      </c>
      <c r="J782" t="n">
        <v>0</v>
      </c>
      <c r="K782" t="n">
        <v>0</v>
      </c>
      <c r="L782" t="n">
        <v>0</v>
      </c>
      <c r="M782" t="n">
        <v>0</v>
      </c>
      <c r="N782" t="n">
        <v>0</v>
      </c>
      <c r="O782" t="n">
        <v>0</v>
      </c>
      <c r="P782" t="n">
        <v>0</v>
      </c>
      <c r="Q782" t="n">
        <v>0</v>
      </c>
      <c r="R782" s="2" t="inlineStr"/>
    </row>
    <row r="783" ht="15" customHeight="1">
      <c r="A783" t="inlineStr">
        <is>
          <t>A 51223-2022</t>
        </is>
      </c>
      <c r="B783" s="1" t="n">
        <v>44868</v>
      </c>
      <c r="C783" s="1" t="n">
        <v>45983</v>
      </c>
      <c r="D783" t="inlineStr">
        <is>
          <t>HALLANDS LÄN</t>
        </is>
      </c>
      <c r="E783" t="inlineStr">
        <is>
          <t>HYLTE</t>
        </is>
      </c>
      <c r="G783" t="n">
        <v>1.8</v>
      </c>
      <c r="H783" t="n">
        <v>0</v>
      </c>
      <c r="I783" t="n">
        <v>0</v>
      </c>
      <c r="J783" t="n">
        <v>0</v>
      </c>
      <c r="K783" t="n">
        <v>0</v>
      </c>
      <c r="L783" t="n">
        <v>0</v>
      </c>
      <c r="M783" t="n">
        <v>0</v>
      </c>
      <c r="N783" t="n">
        <v>0</v>
      </c>
      <c r="O783" t="n">
        <v>0</v>
      </c>
      <c r="P783" t="n">
        <v>0</v>
      </c>
      <c r="Q783" t="n">
        <v>0</v>
      </c>
      <c r="R783" s="2" t="inlineStr"/>
    </row>
    <row r="784" ht="15" customHeight="1">
      <c r="A784" t="inlineStr">
        <is>
          <t>A 13944-2025</t>
        </is>
      </c>
      <c r="B784" s="1" t="n">
        <v>45737.71368055556</v>
      </c>
      <c r="C784" s="1" t="n">
        <v>45983</v>
      </c>
      <c r="D784" t="inlineStr">
        <is>
          <t>HALLANDS LÄN</t>
        </is>
      </c>
      <c r="E784" t="inlineStr">
        <is>
          <t>HYLTE</t>
        </is>
      </c>
      <c r="G784" t="n">
        <v>0.6</v>
      </c>
      <c r="H784" t="n">
        <v>0</v>
      </c>
      <c r="I784" t="n">
        <v>0</v>
      </c>
      <c r="J784" t="n">
        <v>0</v>
      </c>
      <c r="K784" t="n">
        <v>0</v>
      </c>
      <c r="L784" t="n">
        <v>0</v>
      </c>
      <c r="M784" t="n">
        <v>0</v>
      </c>
      <c r="N784" t="n">
        <v>0</v>
      </c>
      <c r="O784" t="n">
        <v>0</v>
      </c>
      <c r="P784" t="n">
        <v>0</v>
      </c>
      <c r="Q784" t="n">
        <v>0</v>
      </c>
      <c r="R784" s="2" t="inlineStr"/>
    </row>
    <row r="785" ht="15" customHeight="1">
      <c r="A785" t="inlineStr">
        <is>
          <t>A 13946-2025</t>
        </is>
      </c>
      <c r="B785" s="1" t="n">
        <v>45737.71565972222</v>
      </c>
      <c r="C785" s="1" t="n">
        <v>45983</v>
      </c>
      <c r="D785" t="inlineStr">
        <is>
          <t>HALLANDS LÄN</t>
        </is>
      </c>
      <c r="E785" t="inlineStr">
        <is>
          <t>HYLTE</t>
        </is>
      </c>
      <c r="G785" t="n">
        <v>1.6</v>
      </c>
      <c r="H785" t="n">
        <v>0</v>
      </c>
      <c r="I785" t="n">
        <v>0</v>
      </c>
      <c r="J785" t="n">
        <v>0</v>
      </c>
      <c r="K785" t="n">
        <v>0</v>
      </c>
      <c r="L785" t="n">
        <v>0</v>
      </c>
      <c r="M785" t="n">
        <v>0</v>
      </c>
      <c r="N785" t="n">
        <v>0</v>
      </c>
      <c r="O785" t="n">
        <v>0</v>
      </c>
      <c r="P785" t="n">
        <v>0</v>
      </c>
      <c r="Q785" t="n">
        <v>0</v>
      </c>
      <c r="R785" s="2" t="inlineStr"/>
    </row>
    <row r="786" ht="15" customHeight="1">
      <c r="A786" t="inlineStr">
        <is>
          <t>A 60017-2023</t>
        </is>
      </c>
      <c r="B786" s="1" t="n">
        <v>45258</v>
      </c>
      <c r="C786" s="1" t="n">
        <v>45983</v>
      </c>
      <c r="D786" t="inlineStr">
        <is>
          <t>HALLANDS LÄN</t>
        </is>
      </c>
      <c r="E786" t="inlineStr">
        <is>
          <t>HYLTE</t>
        </is>
      </c>
      <c r="G786" t="n">
        <v>1.1</v>
      </c>
      <c r="H786" t="n">
        <v>0</v>
      </c>
      <c r="I786" t="n">
        <v>0</v>
      </c>
      <c r="J786" t="n">
        <v>0</v>
      </c>
      <c r="K786" t="n">
        <v>0</v>
      </c>
      <c r="L786" t="n">
        <v>0</v>
      </c>
      <c r="M786" t="n">
        <v>0</v>
      </c>
      <c r="N786" t="n">
        <v>0</v>
      </c>
      <c r="O786" t="n">
        <v>0</v>
      </c>
      <c r="P786" t="n">
        <v>0</v>
      </c>
      <c r="Q786" t="n">
        <v>0</v>
      </c>
      <c r="R786" s="2" t="inlineStr"/>
    </row>
    <row r="787" ht="15" customHeight="1">
      <c r="A787" t="inlineStr">
        <is>
          <t>A 30031-2024</t>
        </is>
      </c>
      <c r="B787" s="1" t="n">
        <v>45485</v>
      </c>
      <c r="C787" s="1" t="n">
        <v>45983</v>
      </c>
      <c r="D787" t="inlineStr">
        <is>
          <t>HALLANDS LÄN</t>
        </is>
      </c>
      <c r="E787" t="inlineStr">
        <is>
          <t>HYLTE</t>
        </is>
      </c>
      <c r="G787" t="n">
        <v>2.7</v>
      </c>
      <c r="H787" t="n">
        <v>0</v>
      </c>
      <c r="I787" t="n">
        <v>0</v>
      </c>
      <c r="J787" t="n">
        <v>0</v>
      </c>
      <c r="K787" t="n">
        <v>0</v>
      </c>
      <c r="L787" t="n">
        <v>0</v>
      </c>
      <c r="M787" t="n">
        <v>0</v>
      </c>
      <c r="N787" t="n">
        <v>0</v>
      </c>
      <c r="O787" t="n">
        <v>0</v>
      </c>
      <c r="P787" t="n">
        <v>0</v>
      </c>
      <c r="Q787" t="n">
        <v>0</v>
      </c>
      <c r="R787" s="2" t="inlineStr"/>
    </row>
    <row r="788" ht="15" customHeight="1">
      <c r="A788" t="inlineStr">
        <is>
          <t>A 25067-2024</t>
        </is>
      </c>
      <c r="B788" s="1" t="n">
        <v>45462.36620370371</v>
      </c>
      <c r="C788" s="1" t="n">
        <v>45983</v>
      </c>
      <c r="D788" t="inlineStr">
        <is>
          <t>HALLANDS LÄN</t>
        </is>
      </c>
      <c r="E788" t="inlineStr">
        <is>
          <t>HYLTE</t>
        </is>
      </c>
      <c r="G788" t="n">
        <v>1.9</v>
      </c>
      <c r="H788" t="n">
        <v>0</v>
      </c>
      <c r="I788" t="n">
        <v>0</v>
      </c>
      <c r="J788" t="n">
        <v>0</v>
      </c>
      <c r="K788" t="n">
        <v>0</v>
      </c>
      <c r="L788" t="n">
        <v>0</v>
      </c>
      <c r="M788" t="n">
        <v>0</v>
      </c>
      <c r="N788" t="n">
        <v>0</v>
      </c>
      <c r="O788" t="n">
        <v>0</v>
      </c>
      <c r="P788" t="n">
        <v>0</v>
      </c>
      <c r="Q788" t="n">
        <v>0</v>
      </c>
      <c r="R788" s="2" t="inlineStr"/>
    </row>
    <row r="789" ht="15" customHeight="1">
      <c r="A789" t="inlineStr">
        <is>
          <t>A 41503-2024</t>
        </is>
      </c>
      <c r="B789" s="1" t="n">
        <v>45560.4652662037</v>
      </c>
      <c r="C789" s="1" t="n">
        <v>45983</v>
      </c>
      <c r="D789" t="inlineStr">
        <is>
          <t>HALLANDS LÄN</t>
        </is>
      </c>
      <c r="E789" t="inlineStr">
        <is>
          <t>HYLTE</t>
        </is>
      </c>
      <c r="G789" t="n">
        <v>1.3</v>
      </c>
      <c r="H789" t="n">
        <v>0</v>
      </c>
      <c r="I789" t="n">
        <v>0</v>
      </c>
      <c r="J789" t="n">
        <v>0</v>
      </c>
      <c r="K789" t="n">
        <v>0</v>
      </c>
      <c r="L789" t="n">
        <v>0</v>
      </c>
      <c r="M789" t="n">
        <v>0</v>
      </c>
      <c r="N789" t="n">
        <v>0</v>
      </c>
      <c r="O789" t="n">
        <v>0</v>
      </c>
      <c r="P789" t="n">
        <v>0</v>
      </c>
      <c r="Q789" t="n">
        <v>0</v>
      </c>
      <c r="R789" s="2" t="inlineStr"/>
    </row>
    <row r="790" ht="15" customHeight="1">
      <c r="A790" t="inlineStr">
        <is>
          <t>A 25537-2023</t>
        </is>
      </c>
      <c r="B790" s="1" t="n">
        <v>45089</v>
      </c>
      <c r="C790" s="1" t="n">
        <v>45983</v>
      </c>
      <c r="D790" t="inlineStr">
        <is>
          <t>HALLANDS LÄN</t>
        </is>
      </c>
      <c r="E790" t="inlineStr">
        <is>
          <t>HYLTE</t>
        </is>
      </c>
      <c r="G790" t="n">
        <v>5.7</v>
      </c>
      <c r="H790" t="n">
        <v>0</v>
      </c>
      <c r="I790" t="n">
        <v>0</v>
      </c>
      <c r="J790" t="n">
        <v>0</v>
      </c>
      <c r="K790" t="n">
        <v>0</v>
      </c>
      <c r="L790" t="n">
        <v>0</v>
      </c>
      <c r="M790" t="n">
        <v>0</v>
      </c>
      <c r="N790" t="n">
        <v>0</v>
      </c>
      <c r="O790" t="n">
        <v>0</v>
      </c>
      <c r="P790" t="n">
        <v>0</v>
      </c>
      <c r="Q790" t="n">
        <v>0</v>
      </c>
      <c r="R790" s="2" t="inlineStr"/>
    </row>
    <row r="791" ht="15" customHeight="1">
      <c r="A791" t="inlineStr">
        <is>
          <t>A 48503-2024</t>
        </is>
      </c>
      <c r="B791" s="1" t="n">
        <v>45593</v>
      </c>
      <c r="C791" s="1" t="n">
        <v>45983</v>
      </c>
      <c r="D791" t="inlineStr">
        <is>
          <t>HALLANDS LÄN</t>
        </is>
      </c>
      <c r="E791" t="inlineStr">
        <is>
          <t>HYLTE</t>
        </is>
      </c>
      <c r="G791" t="n">
        <v>0.6</v>
      </c>
      <c r="H791" t="n">
        <v>0</v>
      </c>
      <c r="I791" t="n">
        <v>0</v>
      </c>
      <c r="J791" t="n">
        <v>0</v>
      </c>
      <c r="K791" t="n">
        <v>0</v>
      </c>
      <c r="L791" t="n">
        <v>0</v>
      </c>
      <c r="M791" t="n">
        <v>0</v>
      </c>
      <c r="N791" t="n">
        <v>0</v>
      </c>
      <c r="O791" t="n">
        <v>0</v>
      </c>
      <c r="P791" t="n">
        <v>0</v>
      </c>
      <c r="Q791" t="n">
        <v>0</v>
      </c>
      <c r="R791" s="2" t="inlineStr"/>
    </row>
    <row r="792" ht="15" customHeight="1">
      <c r="A792" t="inlineStr">
        <is>
          <t>A 682-2024</t>
        </is>
      </c>
      <c r="B792" s="1" t="n">
        <v>45300.36232638889</v>
      </c>
      <c r="C792" s="1" t="n">
        <v>45983</v>
      </c>
      <c r="D792" t="inlineStr">
        <is>
          <t>HALLANDS LÄN</t>
        </is>
      </c>
      <c r="E792" t="inlineStr">
        <is>
          <t>HYLTE</t>
        </is>
      </c>
      <c r="G792" t="n">
        <v>1.7</v>
      </c>
      <c r="H792" t="n">
        <v>0</v>
      </c>
      <c r="I792" t="n">
        <v>0</v>
      </c>
      <c r="J792" t="n">
        <v>0</v>
      </c>
      <c r="K792" t="n">
        <v>0</v>
      </c>
      <c r="L792" t="n">
        <v>0</v>
      </c>
      <c r="M792" t="n">
        <v>0</v>
      </c>
      <c r="N792" t="n">
        <v>0</v>
      </c>
      <c r="O792" t="n">
        <v>0</v>
      </c>
      <c r="P792" t="n">
        <v>0</v>
      </c>
      <c r="Q792" t="n">
        <v>0</v>
      </c>
      <c r="R792" s="2" t="inlineStr"/>
    </row>
    <row r="793" ht="15" customHeight="1">
      <c r="A793" t="inlineStr">
        <is>
          <t>A 8298-2024</t>
        </is>
      </c>
      <c r="B793" s="1" t="n">
        <v>45352.44460648148</v>
      </c>
      <c r="C793" s="1" t="n">
        <v>45983</v>
      </c>
      <c r="D793" t="inlineStr">
        <is>
          <t>HALLANDS LÄN</t>
        </is>
      </c>
      <c r="E793" t="inlineStr">
        <is>
          <t>HYLTE</t>
        </is>
      </c>
      <c r="G793" t="n">
        <v>4.6</v>
      </c>
      <c r="H793" t="n">
        <v>0</v>
      </c>
      <c r="I793" t="n">
        <v>0</v>
      </c>
      <c r="J793" t="n">
        <v>0</v>
      </c>
      <c r="K793" t="n">
        <v>0</v>
      </c>
      <c r="L793" t="n">
        <v>0</v>
      </c>
      <c r="M793" t="n">
        <v>0</v>
      </c>
      <c r="N793" t="n">
        <v>0</v>
      </c>
      <c r="O793" t="n">
        <v>0</v>
      </c>
      <c r="P793" t="n">
        <v>0</v>
      </c>
      <c r="Q793" t="n">
        <v>0</v>
      </c>
      <c r="R793" s="2" t="inlineStr"/>
    </row>
    <row r="794" ht="15" customHeight="1">
      <c r="A794" t="inlineStr">
        <is>
          <t>A 57134-2023</t>
        </is>
      </c>
      <c r="B794" s="1" t="n">
        <v>45245</v>
      </c>
      <c r="C794" s="1" t="n">
        <v>45983</v>
      </c>
      <c r="D794" t="inlineStr">
        <is>
          <t>HALLANDS LÄN</t>
        </is>
      </c>
      <c r="E794" t="inlineStr">
        <is>
          <t>HYLTE</t>
        </is>
      </c>
      <c r="G794" t="n">
        <v>2.2</v>
      </c>
      <c r="H794" t="n">
        <v>0</v>
      </c>
      <c r="I794" t="n">
        <v>0</v>
      </c>
      <c r="J794" t="n">
        <v>0</v>
      </c>
      <c r="K794" t="n">
        <v>0</v>
      </c>
      <c r="L794" t="n">
        <v>0</v>
      </c>
      <c r="M794" t="n">
        <v>0</v>
      </c>
      <c r="N794" t="n">
        <v>0</v>
      </c>
      <c r="O794" t="n">
        <v>0</v>
      </c>
      <c r="P794" t="n">
        <v>0</v>
      </c>
      <c r="Q794" t="n">
        <v>0</v>
      </c>
      <c r="R794" s="2" t="inlineStr"/>
    </row>
    <row r="795" ht="15" customHeight="1">
      <c r="A795" t="inlineStr">
        <is>
          <t>A 12139-2024</t>
        </is>
      </c>
      <c r="B795" s="1" t="n">
        <v>45377.67119212963</v>
      </c>
      <c r="C795" s="1" t="n">
        <v>45983</v>
      </c>
      <c r="D795" t="inlineStr">
        <is>
          <t>HALLANDS LÄN</t>
        </is>
      </c>
      <c r="E795" t="inlineStr">
        <is>
          <t>HYLTE</t>
        </is>
      </c>
      <c r="F795" t="inlineStr">
        <is>
          <t>Kyrkan</t>
        </is>
      </c>
      <c r="G795" t="n">
        <v>1.3</v>
      </c>
      <c r="H795" t="n">
        <v>0</v>
      </c>
      <c r="I795" t="n">
        <v>0</v>
      </c>
      <c r="J795" t="n">
        <v>0</v>
      </c>
      <c r="K795" t="n">
        <v>0</v>
      </c>
      <c r="L795" t="n">
        <v>0</v>
      </c>
      <c r="M795" t="n">
        <v>0</v>
      </c>
      <c r="N795" t="n">
        <v>0</v>
      </c>
      <c r="O795" t="n">
        <v>0</v>
      </c>
      <c r="P795" t="n">
        <v>0</v>
      </c>
      <c r="Q795" t="n">
        <v>0</v>
      </c>
      <c r="R795" s="2" t="inlineStr"/>
    </row>
    <row r="796" ht="15" customHeight="1">
      <c r="A796" t="inlineStr">
        <is>
          <t>A 53940-2024</t>
        </is>
      </c>
      <c r="B796" s="1" t="n">
        <v>45615.9209375</v>
      </c>
      <c r="C796" s="1" t="n">
        <v>45983</v>
      </c>
      <c r="D796" t="inlineStr">
        <is>
          <t>HALLANDS LÄN</t>
        </is>
      </c>
      <c r="E796" t="inlineStr">
        <is>
          <t>HYLTE</t>
        </is>
      </c>
      <c r="G796" t="n">
        <v>2.6</v>
      </c>
      <c r="H796" t="n">
        <v>0</v>
      </c>
      <c r="I796" t="n">
        <v>0</v>
      </c>
      <c r="J796" t="n">
        <v>0</v>
      </c>
      <c r="K796" t="n">
        <v>0</v>
      </c>
      <c r="L796" t="n">
        <v>0</v>
      </c>
      <c r="M796" t="n">
        <v>0</v>
      </c>
      <c r="N796" t="n">
        <v>0</v>
      </c>
      <c r="O796" t="n">
        <v>0</v>
      </c>
      <c r="P796" t="n">
        <v>0</v>
      </c>
      <c r="Q796" t="n">
        <v>0</v>
      </c>
      <c r="R796" s="2" t="inlineStr"/>
    </row>
    <row r="797" ht="15" customHeight="1">
      <c r="A797" t="inlineStr">
        <is>
          <t>A 15848-2025</t>
        </is>
      </c>
      <c r="B797" s="1" t="n">
        <v>45748.91024305556</v>
      </c>
      <c r="C797" s="1" t="n">
        <v>45983</v>
      </c>
      <c r="D797" t="inlineStr">
        <is>
          <t>HALLANDS LÄN</t>
        </is>
      </c>
      <c r="E797" t="inlineStr">
        <is>
          <t>HYLTE</t>
        </is>
      </c>
      <c r="G797" t="n">
        <v>1.6</v>
      </c>
      <c r="H797" t="n">
        <v>0</v>
      </c>
      <c r="I797" t="n">
        <v>0</v>
      </c>
      <c r="J797" t="n">
        <v>0</v>
      </c>
      <c r="K797" t="n">
        <v>0</v>
      </c>
      <c r="L797" t="n">
        <v>0</v>
      </c>
      <c r="M797" t="n">
        <v>0</v>
      </c>
      <c r="N797" t="n">
        <v>0</v>
      </c>
      <c r="O797" t="n">
        <v>0</v>
      </c>
      <c r="P797" t="n">
        <v>0</v>
      </c>
      <c r="Q797" t="n">
        <v>0</v>
      </c>
      <c r="R797" s="2" t="inlineStr"/>
    </row>
    <row r="798" ht="15" customHeight="1">
      <c r="A798" t="inlineStr">
        <is>
          <t>A 42657-2023</t>
        </is>
      </c>
      <c r="B798" s="1" t="n">
        <v>45176</v>
      </c>
      <c r="C798" s="1" t="n">
        <v>45983</v>
      </c>
      <c r="D798" t="inlineStr">
        <is>
          <t>HALLANDS LÄN</t>
        </is>
      </c>
      <c r="E798" t="inlineStr">
        <is>
          <t>HYLTE</t>
        </is>
      </c>
      <c r="F798" t="inlineStr">
        <is>
          <t>Kyrkan</t>
        </is>
      </c>
      <c r="G798" t="n">
        <v>1.5</v>
      </c>
      <c r="H798" t="n">
        <v>0</v>
      </c>
      <c r="I798" t="n">
        <v>0</v>
      </c>
      <c r="J798" t="n">
        <v>0</v>
      </c>
      <c r="K798" t="n">
        <v>0</v>
      </c>
      <c r="L798" t="n">
        <v>0</v>
      </c>
      <c r="M798" t="n">
        <v>0</v>
      </c>
      <c r="N798" t="n">
        <v>0</v>
      </c>
      <c r="O798" t="n">
        <v>0</v>
      </c>
      <c r="P798" t="n">
        <v>0</v>
      </c>
      <c r="Q798" t="n">
        <v>0</v>
      </c>
      <c r="R798" s="2" t="inlineStr"/>
    </row>
    <row r="799" ht="15" customHeight="1">
      <c r="A799" t="inlineStr">
        <is>
          <t>A 59595-2024</t>
        </is>
      </c>
      <c r="B799" s="1" t="n">
        <v>45638.69723379629</v>
      </c>
      <c r="C799" s="1" t="n">
        <v>45983</v>
      </c>
      <c r="D799" t="inlineStr">
        <is>
          <t>HALLANDS LÄN</t>
        </is>
      </c>
      <c r="E799" t="inlineStr">
        <is>
          <t>HYLTE</t>
        </is>
      </c>
      <c r="G799" t="n">
        <v>2.3</v>
      </c>
      <c r="H799" t="n">
        <v>0</v>
      </c>
      <c r="I799" t="n">
        <v>0</v>
      </c>
      <c r="J799" t="n">
        <v>0</v>
      </c>
      <c r="K799" t="n">
        <v>0</v>
      </c>
      <c r="L799" t="n">
        <v>0</v>
      </c>
      <c r="M799" t="n">
        <v>0</v>
      </c>
      <c r="N799" t="n">
        <v>0</v>
      </c>
      <c r="O799" t="n">
        <v>0</v>
      </c>
      <c r="P799" t="n">
        <v>0</v>
      </c>
      <c r="Q799" t="n">
        <v>0</v>
      </c>
      <c r="R799" s="2" t="inlineStr"/>
    </row>
    <row r="800" ht="15" customHeight="1">
      <c r="A800" t="inlineStr">
        <is>
          <t>A 47772-2024</t>
        </is>
      </c>
      <c r="B800" s="1" t="n">
        <v>45588</v>
      </c>
      <c r="C800" s="1" t="n">
        <v>45983</v>
      </c>
      <c r="D800" t="inlineStr">
        <is>
          <t>HALLANDS LÄN</t>
        </is>
      </c>
      <c r="E800" t="inlineStr">
        <is>
          <t>HYLTE</t>
        </is>
      </c>
      <c r="F800" t="inlineStr">
        <is>
          <t>Kyrkan</t>
        </is>
      </c>
      <c r="G800" t="n">
        <v>4.7</v>
      </c>
      <c r="H800" t="n">
        <v>0</v>
      </c>
      <c r="I800" t="n">
        <v>0</v>
      </c>
      <c r="J800" t="n">
        <v>0</v>
      </c>
      <c r="K800" t="n">
        <v>0</v>
      </c>
      <c r="L800" t="n">
        <v>0</v>
      </c>
      <c r="M800" t="n">
        <v>0</v>
      </c>
      <c r="N800" t="n">
        <v>0</v>
      </c>
      <c r="O800" t="n">
        <v>0</v>
      </c>
      <c r="P800" t="n">
        <v>0</v>
      </c>
      <c r="Q800" t="n">
        <v>0</v>
      </c>
      <c r="R800" s="2" t="inlineStr"/>
    </row>
    <row r="801" ht="15" customHeight="1">
      <c r="A801" t="inlineStr">
        <is>
          <t>A 21330-2025</t>
        </is>
      </c>
      <c r="B801" s="1" t="n">
        <v>45782.36357638889</v>
      </c>
      <c r="C801" s="1" t="n">
        <v>45983</v>
      </c>
      <c r="D801" t="inlineStr">
        <is>
          <t>HALLANDS LÄN</t>
        </is>
      </c>
      <c r="E801" t="inlineStr">
        <is>
          <t>HYLTE</t>
        </is>
      </c>
      <c r="G801" t="n">
        <v>8.4</v>
      </c>
      <c r="H801" t="n">
        <v>0</v>
      </c>
      <c r="I801" t="n">
        <v>0</v>
      </c>
      <c r="J801" t="n">
        <v>0</v>
      </c>
      <c r="K801" t="n">
        <v>0</v>
      </c>
      <c r="L801" t="n">
        <v>0</v>
      </c>
      <c r="M801" t="n">
        <v>0</v>
      </c>
      <c r="N801" t="n">
        <v>0</v>
      </c>
      <c r="O801" t="n">
        <v>0</v>
      </c>
      <c r="P801" t="n">
        <v>0</v>
      </c>
      <c r="Q801" t="n">
        <v>0</v>
      </c>
      <c r="R801" s="2" t="inlineStr"/>
    </row>
    <row r="802" ht="15" customHeight="1">
      <c r="A802" t="inlineStr">
        <is>
          <t>A 54170-2024</t>
        </is>
      </c>
      <c r="B802" s="1" t="n">
        <v>45616.62524305555</v>
      </c>
      <c r="C802" s="1" t="n">
        <v>45983</v>
      </c>
      <c r="D802" t="inlineStr">
        <is>
          <t>HALLANDS LÄN</t>
        </is>
      </c>
      <c r="E802" t="inlineStr">
        <is>
          <t>HYLTE</t>
        </is>
      </c>
      <c r="G802" t="n">
        <v>1.4</v>
      </c>
      <c r="H802" t="n">
        <v>0</v>
      </c>
      <c r="I802" t="n">
        <v>0</v>
      </c>
      <c r="J802" t="n">
        <v>0</v>
      </c>
      <c r="K802" t="n">
        <v>0</v>
      </c>
      <c r="L802" t="n">
        <v>0</v>
      </c>
      <c r="M802" t="n">
        <v>0</v>
      </c>
      <c r="N802" t="n">
        <v>0</v>
      </c>
      <c r="O802" t="n">
        <v>0</v>
      </c>
      <c r="P802" t="n">
        <v>0</v>
      </c>
      <c r="Q802" t="n">
        <v>0</v>
      </c>
      <c r="R802" s="2" t="inlineStr"/>
    </row>
    <row r="803" ht="15" customHeight="1">
      <c r="A803" t="inlineStr">
        <is>
          <t>A 21784-2025</t>
        </is>
      </c>
      <c r="B803" s="1" t="n">
        <v>45783.66892361111</v>
      </c>
      <c r="C803" s="1" t="n">
        <v>45983</v>
      </c>
      <c r="D803" t="inlineStr">
        <is>
          <t>HALLANDS LÄN</t>
        </is>
      </c>
      <c r="E803" t="inlineStr">
        <is>
          <t>HYLTE</t>
        </is>
      </c>
      <c r="G803" t="n">
        <v>1.2</v>
      </c>
      <c r="H803" t="n">
        <v>0</v>
      </c>
      <c r="I803" t="n">
        <v>0</v>
      </c>
      <c r="J803" t="n">
        <v>0</v>
      </c>
      <c r="K803" t="n">
        <v>0</v>
      </c>
      <c r="L803" t="n">
        <v>0</v>
      </c>
      <c r="M803" t="n">
        <v>0</v>
      </c>
      <c r="N803" t="n">
        <v>0</v>
      </c>
      <c r="O803" t="n">
        <v>0</v>
      </c>
      <c r="P803" t="n">
        <v>0</v>
      </c>
      <c r="Q803" t="n">
        <v>0</v>
      </c>
      <c r="R803" s="2" t="inlineStr"/>
    </row>
    <row r="804" ht="15" customHeight="1">
      <c r="A804" t="inlineStr">
        <is>
          <t>A 21776-2025</t>
        </is>
      </c>
      <c r="B804" s="1" t="n">
        <v>45783.66291666667</v>
      </c>
      <c r="C804" s="1" t="n">
        <v>45983</v>
      </c>
      <c r="D804" t="inlineStr">
        <is>
          <t>HALLANDS LÄN</t>
        </is>
      </c>
      <c r="E804" t="inlineStr">
        <is>
          <t>HYLTE</t>
        </is>
      </c>
      <c r="G804" t="n">
        <v>1.3</v>
      </c>
      <c r="H804" t="n">
        <v>0</v>
      </c>
      <c r="I804" t="n">
        <v>0</v>
      </c>
      <c r="J804" t="n">
        <v>0</v>
      </c>
      <c r="K804" t="n">
        <v>0</v>
      </c>
      <c r="L804" t="n">
        <v>0</v>
      </c>
      <c r="M804" t="n">
        <v>0</v>
      </c>
      <c r="N804" t="n">
        <v>0</v>
      </c>
      <c r="O804" t="n">
        <v>0</v>
      </c>
      <c r="P804" t="n">
        <v>0</v>
      </c>
      <c r="Q804" t="n">
        <v>0</v>
      </c>
      <c r="R804" s="2" t="inlineStr"/>
    </row>
    <row r="805" ht="15" customHeight="1">
      <c r="A805" t="inlineStr">
        <is>
          <t>A 13789-2024</t>
        </is>
      </c>
      <c r="B805" s="1" t="n">
        <v>45391.34334490741</v>
      </c>
      <c r="C805" s="1" t="n">
        <v>45983</v>
      </c>
      <c r="D805" t="inlineStr">
        <is>
          <t>HALLANDS LÄN</t>
        </is>
      </c>
      <c r="E805" t="inlineStr">
        <is>
          <t>HYLTE</t>
        </is>
      </c>
      <c r="G805" t="n">
        <v>3.7</v>
      </c>
      <c r="H805" t="n">
        <v>0</v>
      </c>
      <c r="I805" t="n">
        <v>0</v>
      </c>
      <c r="J805" t="n">
        <v>0</v>
      </c>
      <c r="K805" t="n">
        <v>0</v>
      </c>
      <c r="L805" t="n">
        <v>0</v>
      </c>
      <c r="M805" t="n">
        <v>0</v>
      </c>
      <c r="N805" t="n">
        <v>0</v>
      </c>
      <c r="O805" t="n">
        <v>0</v>
      </c>
      <c r="P805" t="n">
        <v>0</v>
      </c>
      <c r="Q805" t="n">
        <v>0</v>
      </c>
      <c r="R805" s="2" t="inlineStr"/>
    </row>
    <row r="806">
      <c r="A806" t="inlineStr">
        <is>
          <t>A 31907-2024</t>
        </is>
      </c>
      <c r="B806" s="1" t="n">
        <v>45510</v>
      </c>
      <c r="C806" s="1" t="n">
        <v>45983</v>
      </c>
      <c r="D806" t="inlineStr">
        <is>
          <t>HALLANDS LÄN</t>
        </is>
      </c>
      <c r="E806" t="inlineStr">
        <is>
          <t>HYLTE</t>
        </is>
      </c>
      <c r="G806" t="n">
        <v>3.1</v>
      </c>
      <c r="H806" t="n">
        <v>0</v>
      </c>
      <c r="I806" t="n">
        <v>0</v>
      </c>
      <c r="J806" t="n">
        <v>0</v>
      </c>
      <c r="K806" t="n">
        <v>0</v>
      </c>
      <c r="L806" t="n">
        <v>0</v>
      </c>
      <c r="M806" t="n">
        <v>0</v>
      </c>
      <c r="N806" t="n">
        <v>0</v>
      </c>
      <c r="O806" t="n">
        <v>0</v>
      </c>
      <c r="P806" t="n">
        <v>0</v>
      </c>
      <c r="Q806" t="n">
        <v>0</v>
      </c>
      <c r="R80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2025-11-22T10:15:25Z</dcterms:created>
  <dcterms:modified xmlns:dcterms="http://purl.org/dc/terms/" xmlns:xsi="http://www.w3.org/2001/XMLSchema-instance" xsi:type="dcterms:W3CDTF">2025-11-22T10:15:25Z</dcterms:modified>
</cp:coreProperties>
</file>