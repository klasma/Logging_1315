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46306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46306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46306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46306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46306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46306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46306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46306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46306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46306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46306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46306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46306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46306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46306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48503-2024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46306</v>
      </c>
      <c r="F24" t="inlineStr">
        <is>
          <t>HALLANDS LÄN</t>
        </is>
      </c>
      <c r="G24" t="inlineStr">
        <is>
          <t>HYLTE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HYPERLINK("https://klasma.github.io/Logging_1315/artfynd/A 48503-2024 artfynd.xlsx", "A 48503-2024")</f>
        <v/>
      </c>
      <c r="X24">
        <f>HYPERLINK("https://klasma.github.io/Logging_1315/kartor/A 48503-2024 karta.png", "A 48503-2024")</f>
        <v/>
      </c>
      <c r="Y24">
        <f>HYPERLINK("https://klasma.github.io/Logging_1315/kartor_geotiff/A 48503-2024 georefererad karta.tif", "A 48503-2024")</f>
        <v/>
      </c>
      <c r="AA24">
        <f>HYPERLINK("https://klasma.github.io/Logging_1315/klagomål/A 48503-2024 FSC-klagomål.docx", "A 48503-2024")</f>
        <v/>
      </c>
      <c r="AB24">
        <f>HYPERLINK("https://klasma.github.io/Logging_1315/klagomålsmail/A 48503-2024 FSC-klagomål mail.docx", "A 48503-2024")</f>
        <v/>
      </c>
      <c r="AC24">
        <f>HYPERLINK("https://klasma.github.io/Logging_1315/tillsyn/A 48503-2024 tillsynsbegäran.docx", "A 48503-2024")</f>
        <v/>
      </c>
      <c r="AD24">
        <f>HYPERLINK("https://klasma.github.io/Logging_1315/tillsynsmail/A 48503-2024 tillsynsbegäran mail.docx", "A 48503-2024")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46306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46306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54421-2024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46306</v>
      </c>
      <c r="F27" t="inlineStr">
        <is>
          <t>HALLANDS LÄN</t>
        </is>
      </c>
      <c r="G27" t="inlineStr">
        <is>
          <t>HYLTE</t>
        </is>
      </c>
      <c r="I27" t="n">
        <v>3.9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HYPERLINK("https://klasma.github.io/Logging_1315/artfynd/A 54421-2024 artfynd.xlsx", "A 54421-2024")</f>
        <v/>
      </c>
      <c r="X27">
        <f>HYPERLINK("https://klasma.github.io/Logging_1315/kartor/A 54421-2024 karta.png", "A 54421-2024")</f>
        <v/>
      </c>
      <c r="Y27">
        <f>HYPERLINK("https://klasma.github.io/Logging_1315/kartor_geotiff/A 54421-2024 georefererad karta.tif", "A 54421-2024")</f>
        <v/>
      </c>
      <c r="AA27">
        <f>HYPERLINK("https://klasma.github.io/Logging_1315/klagomål/A 54421-2024 FSC-klagomål.docx", "A 54421-2024")</f>
        <v/>
      </c>
      <c r="AB27">
        <f>HYPERLINK("https://klasma.github.io/Logging_1315/klagomålsmail/A 54421-2024 FSC-klagomål mail.docx", "A 54421-2024")</f>
        <v/>
      </c>
      <c r="AC27">
        <f>HYPERLINK("https://klasma.github.io/Logging_1315/tillsyn/A 54421-2024 tillsynsbegäran.docx", "A 54421-2024")</f>
        <v/>
      </c>
      <c r="AD27">
        <f>HYPERLINK("https://klasma.github.io/Logging_1315/tillsynsmail/A 54421-2024 tillsynsbegäran mail.docx", "A 54421-2024")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46306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46306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46306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Lappuggla</t>
        </is>
      </c>
      <c r="W30">
        <f>HYPERLINK("https://klasma.github.io/Logging_1315/artfynd/A 24939-2023 artfynd.xlsx", "A 24939-2023")</f>
        <v/>
      </c>
      <c r="X30">
        <f>HYPERLINK("https://klasma.github.io/Logging_1315/kartor/A 24939-2023 karta.png", "A 24939-2023")</f>
        <v/>
      </c>
      <c r="Y30">
        <f>HYPERLINK("https://klasma.github.io/Logging_1315/kartor_geotiff/A 24939-2023 georefererad karta.tif", "A 24939-2023")</f>
        <v/>
      </c>
      <c r="AA30">
        <f>HYPERLINK("https://klasma.github.io/Logging_1315/klagomål/A 24939-2023 FSC-klagomål.docx", "A 24939-2023")</f>
        <v/>
      </c>
      <c r="AB30">
        <f>HYPERLINK("https://klasma.github.io/Logging_1315/klagomålsmail/A 24939-2023 FSC-klagomål mail.docx", "A 24939-2023")</f>
        <v/>
      </c>
      <c r="AC30">
        <f>HYPERLINK("https://klasma.github.io/Logging_1315/tillsyn/A 24939-2023 tillsynsbegäran.docx", "A 24939-2023")</f>
        <v/>
      </c>
      <c r="AD30">
        <f>HYPERLINK("https://klasma.github.io/Logging_1315/tillsynsmail/A 24939-2023 tillsynsbegäran mail.docx", "A 24939-2023")</f>
        <v/>
      </c>
      <c r="AE30">
        <f>HYPERLINK("https://klasma.github.io/Logging_1315/fåglar/A 24939-2023 prioriterade fågelarter.docx", "A 24939-2023")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46306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38854-2023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46306</v>
      </c>
      <c r="F32" t="inlineStr">
        <is>
          <t>HALLANDS LÄN</t>
        </is>
      </c>
      <c r="G32" t="inlineStr">
        <is>
          <t>HYLTE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HYPERLINK("https://klasma.github.io/Logging_1315/artfynd/A 38854-2023 artfynd.xlsx", "A 38854-2023")</f>
        <v/>
      </c>
      <c r="X32">
        <f>HYPERLINK("https://klasma.github.io/Logging_1315/kartor/A 38854-2023 karta.png", "A 38854-2023")</f>
        <v/>
      </c>
      <c r="Y32">
        <f>HYPERLINK("https://klasma.github.io/Logging_1315/kartor_geotiff/A 38854-2023 georefererad karta.tif", "A 38854-2023")</f>
        <v/>
      </c>
      <c r="AA32">
        <f>HYPERLINK("https://klasma.github.io/Logging_1315/klagomål/A 38854-2023 FSC-klagomål.docx", "A 38854-2023")</f>
        <v/>
      </c>
      <c r="AB32">
        <f>HYPERLINK("https://klasma.github.io/Logging_1315/klagomålsmail/A 38854-2023 FSC-klagomål mail.docx", "A 38854-2023")</f>
        <v/>
      </c>
      <c r="AC32">
        <f>HYPERLINK("https://klasma.github.io/Logging_1315/tillsyn/A 38854-2023 tillsynsbegäran.docx", "A 38854-2023")</f>
        <v/>
      </c>
      <c r="AD32">
        <f>HYPERLINK("https://klasma.github.io/Logging_1315/tillsynsmail/A 38854-2023 tillsynsbegäran mail.docx", "A 38854-2023")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46306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57230-2023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45245</v>
      </c>
      <c r="E34" s="1" t="n">
        <v>46306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HYPERLINK("https://klasma.github.io/Logging_1315/artfynd/A 57230-2023 artfynd.xlsx", "A 57230-2023")</f>
        <v/>
      </c>
      <c r="X34">
        <f>HYPERLINK("https://klasma.github.io/Logging_1315/kartor/A 57230-2023 karta.png", "A 57230-2023")</f>
        <v/>
      </c>
      <c r="Y34">
        <f>HYPERLINK("https://klasma.github.io/Logging_1315/kartor_geotiff/A 57230-2023 georefererad karta.tif", "A 57230-2023")</f>
        <v/>
      </c>
      <c r="AA34">
        <f>HYPERLINK("https://klasma.github.io/Logging_1315/klagomål/A 57230-2023 FSC-klagomål.docx", "A 57230-2023")</f>
        <v/>
      </c>
      <c r="AB34">
        <f>HYPERLINK("https://klasma.github.io/Logging_1315/klagomålsmail/A 57230-2023 FSC-klagomål mail.docx", "A 57230-2023")</f>
        <v/>
      </c>
      <c r="AC34">
        <f>HYPERLINK("https://klasma.github.io/Logging_1315/tillsyn/A 57230-2023 tillsynsbegäran.docx", "A 57230-2023")</f>
        <v/>
      </c>
      <c r="AD34">
        <f>HYPERLINK("https://klasma.github.io/Logging_1315/tillsynsmail/A 57230-2023 tillsynsbegäran mail.docx", "A 57230-2023")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46306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46306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46306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46306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56804-2021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44481</v>
      </c>
      <c r="E39" s="1" t="n">
        <v>46306</v>
      </c>
      <c r="F39" t="inlineStr">
        <is>
          <t>HALLANDS LÄN</t>
        </is>
      </c>
      <c r="G39" t="inlineStr">
        <is>
          <t>HYLTE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46306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46306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46306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46306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46306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46306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46306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46306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46306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46306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46306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46306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46306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46306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46306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46306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46306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46306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46306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46306</v>
      </c>
      <c r="F60" t="inlineStr">
        <is>
          <t>HALLANDS LÄN</t>
        </is>
      </c>
      <c r="G60" t="inlineStr">
        <is>
          <t>HYLTE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46306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46306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46306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46306</v>
      </c>
      <c r="F64" t="inlineStr">
        <is>
          <t>HALLANDS LÄN</t>
        </is>
      </c>
      <c r="G64" t="inlineStr">
        <is>
          <t>HYLTE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46306</v>
      </c>
      <c r="F65" t="inlineStr">
        <is>
          <t>HALLANDS LÄN</t>
        </is>
      </c>
      <c r="G65" t="inlineStr">
        <is>
          <t>HYLTE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46306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46306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34628-2022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44795</v>
      </c>
      <c r="E68" s="1" t="n">
        <v>46306</v>
      </c>
      <c r="F68" t="inlineStr">
        <is>
          <t>HALLANDS LÄN</t>
        </is>
      </c>
      <c r="G68" t="inlineStr">
        <is>
          <t>HYLTE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44634</v>
      </c>
      <c r="E69" s="1" t="n">
        <v>46306</v>
      </c>
      <c r="F69" t="inlineStr">
        <is>
          <t>HALLANDS LÄN</t>
        </is>
      </c>
      <c r="G69" t="inlineStr">
        <is>
          <t>HYLTE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62174-2021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44502</v>
      </c>
      <c r="E70" s="1" t="n">
        <v>46306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46306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58836-2021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46306</v>
      </c>
      <c r="F72" t="inlineStr">
        <is>
          <t>HALLANDS LÄN</t>
        </is>
      </c>
      <c r="G72" t="inlineStr">
        <is>
          <t>HYLTE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11567-2022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44631</v>
      </c>
      <c r="E73" s="1" t="n">
        <v>46306</v>
      </c>
      <c r="F73" t="inlineStr">
        <is>
          <t>HALLANDS LÄN</t>
        </is>
      </c>
      <c r="G73" t="inlineStr">
        <is>
          <t>HYLTE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46306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44876</v>
      </c>
      <c r="E75" s="1" t="n">
        <v>46306</v>
      </c>
      <c r="F75" t="inlineStr">
        <is>
          <t>HALLANDS LÄN</t>
        </is>
      </c>
      <c r="G75" t="inlineStr">
        <is>
          <t>HYLTE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46306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46306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46306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46306</v>
      </c>
      <c r="F79" t="inlineStr">
        <is>
          <t>HALLANDS LÄN</t>
        </is>
      </c>
      <c r="G79" t="inlineStr">
        <is>
          <t>HYLTE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46306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46306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46306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44727</v>
      </c>
      <c r="E84" s="1" t="n">
        <v>46306</v>
      </c>
      <c r="F84" t="inlineStr">
        <is>
          <t>HALLANDS LÄN</t>
        </is>
      </c>
      <c r="G84" t="inlineStr">
        <is>
          <t>HYLTE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46306</v>
      </c>
      <c r="F85" t="inlineStr">
        <is>
          <t>HALLANDS LÄN</t>
        </is>
      </c>
      <c r="G85" t="inlineStr">
        <is>
          <t>HYLTE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44778</v>
      </c>
      <c r="E86" s="1" t="n">
        <v>46306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46306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46306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46306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46306</v>
      </c>
      <c r="F90" t="inlineStr">
        <is>
          <t>HALLANDS LÄN</t>
        </is>
      </c>
      <c r="G90" t="inlineStr">
        <is>
          <t>HYLTE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46306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46306</v>
      </c>
      <c r="F92" t="inlineStr">
        <is>
          <t>HALLANDS LÄN</t>
        </is>
      </c>
      <c r="G92" t="inlineStr">
        <is>
          <t>HYLTE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46306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46306</v>
      </c>
      <c r="F94" t="inlineStr">
        <is>
          <t>HALLANDS LÄN</t>
        </is>
      </c>
      <c r="G94" t="inlineStr">
        <is>
          <t>HYLTE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46306</v>
      </c>
      <c r="F95" t="inlineStr">
        <is>
          <t>HALLANDS LÄN</t>
        </is>
      </c>
      <c r="G95" t="inlineStr">
        <is>
          <t>HYLTE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45331</v>
      </c>
      <c r="E96" s="1" t="n">
        <v>46306</v>
      </c>
      <c r="F96" t="inlineStr">
        <is>
          <t>HALLANDS LÄN</t>
        </is>
      </c>
      <c r="G96" t="inlineStr">
        <is>
          <t>HYLTE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46306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46306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46306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46306</v>
      </c>
      <c r="F100" t="inlineStr">
        <is>
          <t>HALLANDS LÄN</t>
        </is>
      </c>
      <c r="G100" t="inlineStr">
        <is>
          <t>HYLTE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46306</v>
      </c>
      <c r="F101" t="inlineStr">
        <is>
          <t>HALLANDS LÄN</t>
        </is>
      </c>
      <c r="G101" t="inlineStr">
        <is>
          <t>HYLTE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46306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46306</v>
      </c>
      <c r="F103" t="inlineStr">
        <is>
          <t>HALLANDS LÄN</t>
        </is>
      </c>
      <c r="G103" t="inlineStr">
        <is>
          <t>HYLTE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46306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46306</v>
      </c>
      <c r="F105" t="inlineStr">
        <is>
          <t>HALLANDS LÄN</t>
        </is>
      </c>
      <c r="G105" t="inlineStr">
        <is>
          <t>HYLTE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46306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46306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46306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46306</v>
      </c>
      <c r="F109" t="inlineStr">
        <is>
          <t>HALLANDS LÄN</t>
        </is>
      </c>
      <c r="G109" t="inlineStr">
        <is>
          <t>HYLTE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46306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46306</v>
      </c>
      <c r="F111" t="inlineStr">
        <is>
          <t>HALLANDS LÄN</t>
        </is>
      </c>
      <c r="G111" t="inlineStr">
        <is>
          <t>HYLTE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46306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46306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46306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46306</v>
      </c>
      <c r="F115" t="inlineStr">
        <is>
          <t>HALLANDS LÄN</t>
        </is>
      </c>
      <c r="G115" t="inlineStr">
        <is>
          <t>HYLTE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45327</v>
      </c>
      <c r="E116" s="1" t="n">
        <v>46306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45770</v>
      </c>
      <c r="E117" s="1" t="n">
        <v>46306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45441</v>
      </c>
      <c r="E118" s="1" t="n">
        <v>46306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45441</v>
      </c>
      <c r="E119" s="1" t="n">
        <v>46306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45674</v>
      </c>
      <c r="E120" s="1" t="n">
        <v>46306</v>
      </c>
      <c r="F120" t="inlineStr">
        <is>
          <t>HALLANDS LÄN</t>
        </is>
      </c>
      <c r="G120" t="inlineStr">
        <is>
          <t>HYLTE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46306</v>
      </c>
      <c r="F121" t="inlineStr">
        <is>
          <t>HALLANDS LÄN</t>
        </is>
      </c>
      <c r="G121" t="inlineStr">
        <is>
          <t>HYLTE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53192-2023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45229</v>
      </c>
      <c r="E122" s="1" t="n">
        <v>46306</v>
      </c>
      <c r="F122" t="inlineStr">
        <is>
          <t>HALLANDS LÄN</t>
        </is>
      </c>
      <c r="G122" t="inlineStr">
        <is>
          <t>HYLTE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46306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46306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46306</v>
      </c>
      <c r="F125" t="inlineStr">
        <is>
          <t>HALLANDS LÄN</t>
        </is>
      </c>
      <c r="G125" t="inlineStr">
        <is>
          <t>HYLTE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46306</v>
      </c>
      <c r="F126" t="inlineStr">
        <is>
          <t>HALLANDS LÄN</t>
        </is>
      </c>
      <c r="G126" t="inlineStr">
        <is>
          <t>HYLTE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45752</v>
      </c>
      <c r="E127" s="1" t="n">
        <v>46306</v>
      </c>
      <c r="F127" t="inlineStr">
        <is>
          <t>HALLANDS LÄN</t>
        </is>
      </c>
      <c r="G127" t="inlineStr">
        <is>
          <t>HYLTE</t>
        </is>
      </c>
      <c r="H127" t="inlineStr">
        <is>
          <t>Kyrkan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46306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46306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46306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45382</v>
      </c>
      <c r="E131" s="1" t="n">
        <v>46306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45061</v>
      </c>
      <c r="E132" s="1" t="n">
        <v>46306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46306</v>
      </c>
      <c r="F133" t="inlineStr">
        <is>
          <t>HALLANDS LÄN</t>
        </is>
      </c>
      <c r="G133" t="inlineStr">
        <is>
          <t>HYLTE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46306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46306</v>
      </c>
      <c r="F135" t="inlineStr">
        <is>
          <t>HALLANDS LÄN</t>
        </is>
      </c>
      <c r="G135" t="inlineStr">
        <is>
          <t>HYLTE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46306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46306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46306</v>
      </c>
      <c r="F138" t="inlineStr">
        <is>
          <t>HALLANDS LÄN</t>
        </is>
      </c>
      <c r="G138" t="inlineStr">
        <is>
          <t>HYLTE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46306</v>
      </c>
      <c r="F139" t="inlineStr">
        <is>
          <t>HALLANDS LÄN</t>
        </is>
      </c>
      <c r="G139" t="inlineStr">
        <is>
          <t>HYLTE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46306</v>
      </c>
      <c r="F140" t="inlineStr">
        <is>
          <t>HALLANDS LÄN</t>
        </is>
      </c>
      <c r="G140" t="inlineStr">
        <is>
          <t>HYLTE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46306</v>
      </c>
      <c r="F141" t="inlineStr">
        <is>
          <t>HALLANDS LÄN</t>
        </is>
      </c>
      <c r="G141" t="inlineStr">
        <is>
          <t>HYLTE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45252</v>
      </c>
      <c r="E142" s="1" t="n">
        <v>46306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45694</v>
      </c>
      <c r="E143" s="1" t="n">
        <v>46306</v>
      </c>
      <c r="F143" t="inlineStr">
        <is>
          <t>HALLANDS LÄN</t>
        </is>
      </c>
      <c r="G143" t="inlineStr">
        <is>
          <t>HYLTE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44750</v>
      </c>
      <c r="E144" s="1" t="n">
        <v>46306</v>
      </c>
      <c r="F144" t="inlineStr">
        <is>
          <t>HALLANDS LÄN</t>
        </is>
      </c>
      <c r="G144" t="inlineStr">
        <is>
          <t>HYLTE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45368</v>
      </c>
      <c r="E145" s="1" t="n">
        <v>46306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46306</v>
      </c>
      <c r="F146" t="inlineStr">
        <is>
          <t>HALLANDS LÄN</t>
        </is>
      </c>
      <c r="G146" t="inlineStr">
        <is>
          <t>HYLTE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46306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46306</v>
      </c>
      <c r="F148" t="inlineStr">
        <is>
          <t>HALLANDS LÄN</t>
        </is>
      </c>
      <c r="G148" t="inlineStr">
        <is>
          <t>HYLTE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46306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46306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46306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46306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46306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46306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46306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46306</v>
      </c>
      <c r="F156" t="inlineStr">
        <is>
          <t>HALLANDS LÄN</t>
        </is>
      </c>
      <c r="G156" t="inlineStr">
        <is>
          <t>HYLTE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46306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45478</v>
      </c>
      <c r="E158" s="1" t="n">
        <v>46306</v>
      </c>
      <c r="F158" t="inlineStr">
        <is>
          <t>HALLANDS LÄN</t>
        </is>
      </c>
      <c r="G158" t="inlineStr">
        <is>
          <t>HYLTE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46306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46306</v>
      </c>
      <c r="F160" t="inlineStr">
        <is>
          <t>HALLANDS LÄN</t>
        </is>
      </c>
      <c r="G160" t="inlineStr">
        <is>
          <t>HYLTE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46306</v>
      </c>
      <c r="F161" t="inlineStr">
        <is>
          <t>HALLANDS LÄN</t>
        </is>
      </c>
      <c r="G161" t="inlineStr">
        <is>
          <t>HYLTE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46306</v>
      </c>
      <c r="F162" t="inlineStr">
        <is>
          <t>HALLANDS LÄN</t>
        </is>
      </c>
      <c r="G162" t="inlineStr">
        <is>
          <t>HYLTE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46306</v>
      </c>
      <c r="F163" t="inlineStr">
        <is>
          <t>HALLANDS LÄN</t>
        </is>
      </c>
      <c r="G163" t="inlineStr">
        <is>
          <t>HYLTE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46306</v>
      </c>
      <c r="F164" t="inlineStr">
        <is>
          <t>HALLANDS LÄN</t>
        </is>
      </c>
      <c r="G164" t="inlineStr">
        <is>
          <t>HYLTE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46306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46306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44868</v>
      </c>
      <c r="E167" s="1" t="n">
        <v>46306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46306</v>
      </c>
      <c r="F168" t="inlineStr">
        <is>
          <t>HALLANDS LÄN</t>
        </is>
      </c>
      <c r="G168" t="inlineStr">
        <is>
          <t>HYLTE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46306</v>
      </c>
      <c r="F169" t="inlineStr">
        <is>
          <t>HALLANDS LÄN</t>
        </is>
      </c>
      <c r="G169" t="inlineStr">
        <is>
          <t>HYLTE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46306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68969-2021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46306</v>
      </c>
      <c r="F171" t="inlineStr">
        <is>
          <t>HALLANDS LÄN</t>
        </is>
      </c>
      <c r="G171" t="inlineStr">
        <is>
          <t>HYLTE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46306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46306</v>
      </c>
      <c r="F173" t="inlineStr">
        <is>
          <t>HALLANDS LÄN</t>
        </is>
      </c>
      <c r="G173" t="inlineStr">
        <is>
          <t>HYLTE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46306</v>
      </c>
      <c r="F174" t="inlineStr">
        <is>
          <t>HALLANDS LÄN</t>
        </is>
      </c>
      <c r="G174" t="inlineStr">
        <is>
          <t>HYLTE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46306</v>
      </c>
      <c r="F175" t="inlineStr">
        <is>
          <t>HALLANDS LÄN</t>
        </is>
      </c>
      <c r="G175" t="inlineStr">
        <is>
          <t>HYLTE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46306</v>
      </c>
      <c r="F176" t="inlineStr">
        <is>
          <t>HALLANDS LÄN</t>
        </is>
      </c>
      <c r="G176" t="inlineStr">
        <is>
          <t>HYLTE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46306</v>
      </c>
      <c r="F177" t="inlineStr">
        <is>
          <t>HALLANDS LÄN</t>
        </is>
      </c>
      <c r="G177" t="inlineStr">
        <is>
          <t>HYLTE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46306</v>
      </c>
      <c r="F178" t="inlineStr">
        <is>
          <t>HALLANDS LÄN</t>
        </is>
      </c>
      <c r="G178" t="inlineStr">
        <is>
          <t>HYLTE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64221-2021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46306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46306</v>
      </c>
      <c r="F180" t="inlineStr">
        <is>
          <t>HALLANDS LÄN</t>
        </is>
      </c>
      <c r="G180" t="inlineStr">
        <is>
          <t>HYLTE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46306</v>
      </c>
      <c r="F181" t="inlineStr">
        <is>
          <t>HALLANDS LÄN</t>
        </is>
      </c>
      <c r="G181" t="inlineStr">
        <is>
          <t>HYLTE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46306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46306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46306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46306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46306</v>
      </c>
      <c r="F186" t="inlineStr">
        <is>
          <t>HALLANDS LÄN</t>
        </is>
      </c>
      <c r="G186" t="inlineStr">
        <is>
          <t>HYLTE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46306</v>
      </c>
      <c r="F187" t="inlineStr">
        <is>
          <t>HALLANDS LÄN</t>
        </is>
      </c>
      <c r="G187" t="inlineStr">
        <is>
          <t>HYLTE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46306</v>
      </c>
      <c r="F188" t="inlineStr">
        <is>
          <t>HALLANDS LÄN</t>
        </is>
      </c>
      <c r="G188" t="inlineStr">
        <is>
          <t>HYLTE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46306</v>
      </c>
      <c r="F189" t="inlineStr">
        <is>
          <t>HALLANDS LÄN</t>
        </is>
      </c>
      <c r="G189" t="inlineStr">
        <is>
          <t>HYLTE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46306</v>
      </c>
      <c r="F190" t="inlineStr">
        <is>
          <t>HALLANDS LÄN</t>
        </is>
      </c>
      <c r="G190" t="inlineStr">
        <is>
          <t>HYLTE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46306</v>
      </c>
      <c r="F191" t="inlineStr">
        <is>
          <t>HALLANDS LÄN</t>
        </is>
      </c>
      <c r="G191" t="inlineStr">
        <is>
          <t>HYLTE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46306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46306</v>
      </c>
      <c r="F193" t="inlineStr">
        <is>
          <t>HALLANDS LÄN</t>
        </is>
      </c>
      <c r="G193" t="inlineStr">
        <is>
          <t>HYLTE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46306</v>
      </c>
      <c r="F194" t="inlineStr">
        <is>
          <t>HALLANDS LÄN</t>
        </is>
      </c>
      <c r="G194" t="inlineStr">
        <is>
          <t>HYLTE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44834</v>
      </c>
      <c r="E195" s="1" t="n">
        <v>46306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46306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46306</v>
      </c>
      <c r="F197" t="inlineStr">
        <is>
          <t>HALLANDS LÄN</t>
        </is>
      </c>
      <c r="G197" t="inlineStr">
        <is>
          <t>HYLTE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46306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46306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46306</v>
      </c>
      <c r="F200" t="inlineStr">
        <is>
          <t>HALLANDS LÄN</t>
        </is>
      </c>
      <c r="G200" t="inlineStr">
        <is>
          <t>HYLTE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46306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46306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46306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46306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46306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46306</v>
      </c>
      <c r="F206" t="inlineStr">
        <is>
          <t>HALLANDS LÄN</t>
        </is>
      </c>
      <c r="G206" t="inlineStr">
        <is>
          <t>HYLTE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46306</v>
      </c>
      <c r="F207" t="inlineStr">
        <is>
          <t>HALLANDS LÄN</t>
        </is>
      </c>
      <c r="G207" t="inlineStr">
        <is>
          <t>HYLTE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46306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46306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46306</v>
      </c>
      <c r="F210" t="inlineStr">
        <is>
          <t>HALLANDS LÄN</t>
        </is>
      </c>
      <c r="G210" t="inlineStr">
        <is>
          <t>HYLTE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46306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45414</v>
      </c>
      <c r="E212" s="1" t="n">
        <v>46306</v>
      </c>
      <c r="F212" t="inlineStr">
        <is>
          <t>HALLANDS LÄN</t>
        </is>
      </c>
      <c r="G212" t="inlineStr">
        <is>
          <t>HYLTE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58841-2021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46306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46306</v>
      </c>
      <c r="F214" t="inlineStr">
        <is>
          <t>HALLANDS LÄN</t>
        </is>
      </c>
      <c r="G214" t="inlineStr">
        <is>
          <t>HYLTE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46306</v>
      </c>
      <c r="F215" t="inlineStr">
        <is>
          <t>HALLANDS LÄN</t>
        </is>
      </c>
      <c r="G215" t="inlineStr">
        <is>
          <t>HYLTE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46306</v>
      </c>
      <c r="F216" t="inlineStr">
        <is>
          <t>HALLANDS LÄN</t>
        </is>
      </c>
      <c r="G216" t="inlineStr">
        <is>
          <t>HYLTE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45114</v>
      </c>
      <c r="E217" s="1" t="n">
        <v>46306</v>
      </c>
      <c r="F217" t="inlineStr">
        <is>
          <t>HALLANDS LÄN</t>
        </is>
      </c>
      <c r="G217" t="inlineStr">
        <is>
          <t>HYLTE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45616</v>
      </c>
      <c r="E218" s="1" t="n">
        <v>46306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46306</v>
      </c>
      <c r="F219" t="inlineStr">
        <is>
          <t>HALLANDS LÄN</t>
        </is>
      </c>
      <c r="G219" t="inlineStr">
        <is>
          <t>HYLTE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45391</v>
      </c>
      <c r="E220" s="1" t="n">
        <v>46306</v>
      </c>
      <c r="F220" t="inlineStr">
        <is>
          <t>HALLANDS LÄN</t>
        </is>
      </c>
      <c r="G220" t="inlineStr">
        <is>
          <t>HYLTE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46306</v>
      </c>
      <c r="F221" t="inlineStr">
        <is>
          <t>HALLANDS LÄN</t>
        </is>
      </c>
      <c r="G221" t="inlineStr">
        <is>
          <t>HYLTE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46306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45783</v>
      </c>
      <c r="E223" s="1" t="n">
        <v>46306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45616</v>
      </c>
      <c r="E224" s="1" t="n">
        <v>46306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45538</v>
      </c>
      <c r="E225" s="1" t="n">
        <v>46306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45786</v>
      </c>
      <c r="E226" s="1" t="n">
        <v>46306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46306</v>
      </c>
      <c r="F227" t="inlineStr">
        <is>
          <t>HALLANDS LÄN</t>
        </is>
      </c>
      <c r="G227" t="inlineStr">
        <is>
          <t>HYLTE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45680</v>
      </c>
      <c r="E228" s="1" t="n">
        <v>46306</v>
      </c>
      <c r="F228" t="inlineStr">
        <is>
          <t>HALLANDS LÄN</t>
        </is>
      </c>
      <c r="G228" t="inlineStr">
        <is>
          <t>HYLTE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46306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46306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46306</v>
      </c>
      <c r="F231" t="inlineStr">
        <is>
          <t>HALLANDS LÄN</t>
        </is>
      </c>
      <c r="G231" t="inlineStr">
        <is>
          <t>HYLTE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46306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46306</v>
      </c>
      <c r="F233" t="inlineStr">
        <is>
          <t>HALLANDS LÄN</t>
        </is>
      </c>
      <c r="G233" t="inlineStr">
        <is>
          <t>HYLTE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46306</v>
      </c>
      <c r="F234" t="inlineStr">
        <is>
          <t>HALLANDS LÄN</t>
        </is>
      </c>
      <c r="G234" t="inlineStr">
        <is>
          <t>HYLTE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46306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45462</v>
      </c>
      <c r="E236" s="1" t="n">
        <v>46306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46306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46306</v>
      </c>
      <c r="F238" t="inlineStr">
        <is>
          <t>HALLANDS LÄN</t>
        </is>
      </c>
      <c r="G238" t="inlineStr">
        <is>
          <t>HYLTE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46306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46306</v>
      </c>
      <c r="F240" t="inlineStr">
        <is>
          <t>HALLANDS LÄN</t>
        </is>
      </c>
      <c r="G240" t="inlineStr">
        <is>
          <t>HYLTE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46306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45609</v>
      </c>
      <c r="E242" s="1" t="n">
        <v>46306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46306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46306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46306</v>
      </c>
      <c r="F245" t="inlineStr">
        <is>
          <t>HALLANDS LÄN</t>
        </is>
      </c>
      <c r="G245" t="inlineStr">
        <is>
          <t>HYLTE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46306</v>
      </c>
      <c r="F246" t="inlineStr">
        <is>
          <t>HALLANDS LÄN</t>
        </is>
      </c>
      <c r="G246" t="inlineStr">
        <is>
          <t>HYLTE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46306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46306</v>
      </c>
      <c r="F248" t="inlineStr">
        <is>
          <t>HALLANDS LÄN</t>
        </is>
      </c>
      <c r="G248" t="inlineStr">
        <is>
          <t>HYLTE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46306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46306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46306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23037-2022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44719</v>
      </c>
      <c r="E252" s="1" t="n">
        <v>46306</v>
      </c>
      <c r="F252" t="inlineStr">
        <is>
          <t>HALLANDS LÄN</t>
        </is>
      </c>
      <c r="G252" t="inlineStr">
        <is>
          <t>HYLTE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46306</v>
      </c>
      <c r="F253" t="inlineStr">
        <is>
          <t>HALLANDS LÄN</t>
        </is>
      </c>
      <c r="G253" t="inlineStr">
        <is>
          <t>HYLTE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46306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45091</v>
      </c>
      <c r="E255" s="1" t="n">
        <v>46306</v>
      </c>
      <c r="F255" t="inlineStr">
        <is>
          <t>HALLANDS LÄN</t>
        </is>
      </c>
      <c r="G255" t="inlineStr">
        <is>
          <t>HYLTE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46306</v>
      </c>
      <c r="F256" t="inlineStr">
        <is>
          <t>HALLANDS LÄN</t>
        </is>
      </c>
      <c r="G256" t="inlineStr">
        <is>
          <t>HYLTE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46306</v>
      </c>
      <c r="F257" t="inlineStr">
        <is>
          <t>HALLANDS LÄN</t>
        </is>
      </c>
      <c r="G257" t="inlineStr">
        <is>
          <t>HYLTE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46306</v>
      </c>
      <c r="F258" t="inlineStr">
        <is>
          <t>HALLANDS LÄN</t>
        </is>
      </c>
      <c r="G258" t="inlineStr">
        <is>
          <t>HYLTE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46306</v>
      </c>
      <c r="F259" t="inlineStr">
        <is>
          <t>HALLANDS LÄN</t>
        </is>
      </c>
      <c r="G259" t="inlineStr">
        <is>
          <t>HYLTE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46306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46306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46306</v>
      </c>
      <c r="F262" t="inlineStr">
        <is>
          <t>HALLANDS LÄN</t>
        </is>
      </c>
      <c r="G262" t="inlineStr">
        <is>
          <t>HYLTE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46306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46306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45259</v>
      </c>
      <c r="E265" s="1" t="n">
        <v>46306</v>
      </c>
      <c r="F265" t="inlineStr">
        <is>
          <t>HALLANDS LÄN</t>
        </is>
      </c>
      <c r="G265" t="inlineStr">
        <is>
          <t>HYLTE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46306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44641</v>
      </c>
      <c r="E267" s="1" t="n">
        <v>46306</v>
      </c>
      <c r="F267" t="inlineStr">
        <is>
          <t>HALLANDS LÄN</t>
        </is>
      </c>
      <c r="G267" t="inlineStr">
        <is>
          <t>HYLTE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46306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46306</v>
      </c>
      <c r="F269" t="inlineStr">
        <is>
          <t>HALLANDS LÄN</t>
        </is>
      </c>
      <c r="G269" t="inlineStr">
        <is>
          <t>HYLTE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46306</v>
      </c>
      <c r="F270" t="inlineStr">
        <is>
          <t>HALLANDS LÄN</t>
        </is>
      </c>
      <c r="G270" t="inlineStr">
        <is>
          <t>HYLTE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46306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46306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45229</v>
      </c>
      <c r="E273" s="1" t="n">
        <v>46306</v>
      </c>
      <c r="F273" t="inlineStr">
        <is>
          <t>HALLANDS LÄN</t>
        </is>
      </c>
      <c r="G273" t="inlineStr">
        <is>
          <t>HYLTE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46306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46306</v>
      </c>
      <c r="F275" t="inlineStr">
        <is>
          <t>HALLANDS LÄN</t>
        </is>
      </c>
      <c r="G275" t="inlineStr">
        <is>
          <t>HYLTE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45198</v>
      </c>
      <c r="E276" s="1" t="n">
        <v>46306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46306</v>
      </c>
      <c r="F277" t="inlineStr">
        <is>
          <t>HALLANDS LÄN</t>
        </is>
      </c>
      <c r="G277" t="inlineStr">
        <is>
          <t>HYLTE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46306</v>
      </c>
      <c r="F278" t="inlineStr">
        <is>
          <t>HALLANDS LÄN</t>
        </is>
      </c>
      <c r="G278" t="inlineStr">
        <is>
          <t>HYLTE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44481</v>
      </c>
      <c r="E279" s="1" t="n">
        <v>46306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46306</v>
      </c>
      <c r="F280" t="inlineStr">
        <is>
          <t>HALLANDS LÄN</t>
        </is>
      </c>
      <c r="G280" t="inlineStr">
        <is>
          <t>HYLTE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46306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46306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46306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46306</v>
      </c>
      <c r="F284" t="inlineStr">
        <is>
          <t>HALLANDS LÄN</t>
        </is>
      </c>
      <c r="G284" t="inlineStr">
        <is>
          <t>HYLTE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44926</v>
      </c>
      <c r="E285" s="1" t="n">
        <v>46306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44697</v>
      </c>
      <c r="E286" s="1" t="n">
        <v>46306</v>
      </c>
      <c r="F286" t="inlineStr">
        <is>
          <t>HALLANDS LÄN</t>
        </is>
      </c>
      <c r="G286" t="inlineStr">
        <is>
          <t>HYLTE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46306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46306</v>
      </c>
      <c r="F288" t="inlineStr">
        <is>
          <t>HALLANDS LÄN</t>
        </is>
      </c>
      <c r="G288" t="inlineStr">
        <is>
          <t>HYLTE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46306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45268</v>
      </c>
      <c r="E290" s="1" t="n">
        <v>46306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46306</v>
      </c>
      <c r="F291" t="inlineStr">
        <is>
          <t>HALLANDS LÄN</t>
        </is>
      </c>
      <c r="G291" t="inlineStr">
        <is>
          <t>HYLTE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46306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46306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45806</v>
      </c>
      <c r="E294" s="1" t="n">
        <v>46306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44999</v>
      </c>
      <c r="E295" s="1" t="n">
        <v>46306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46306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45609</v>
      </c>
      <c r="E297" s="1" t="n">
        <v>46306</v>
      </c>
      <c r="F297" t="inlineStr">
        <is>
          <t>HALLANDS LÄN</t>
        </is>
      </c>
      <c r="G297" t="inlineStr">
        <is>
          <t>HYLTE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46306</v>
      </c>
      <c r="F298" t="inlineStr">
        <is>
          <t>HALLANDS LÄN</t>
        </is>
      </c>
      <c r="G298" t="inlineStr">
        <is>
          <t>HYLTE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46306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46306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46306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46306</v>
      </c>
      <c r="F302" t="inlineStr">
        <is>
          <t>HALLANDS LÄN</t>
        </is>
      </c>
      <c r="G302" t="inlineStr">
        <is>
          <t>HYLTE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46306</v>
      </c>
      <c r="F303" t="inlineStr">
        <is>
          <t>HALLANDS LÄN</t>
        </is>
      </c>
      <c r="G303" t="inlineStr">
        <is>
          <t>HYLTE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45694</v>
      </c>
      <c r="E304" s="1" t="n">
        <v>46306</v>
      </c>
      <c r="F304" t="inlineStr">
        <is>
          <t>HALLANDS LÄN</t>
        </is>
      </c>
      <c r="G304" t="inlineStr">
        <is>
          <t>HYLTE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45597</v>
      </c>
      <c r="E305" s="1" t="n">
        <v>46306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46306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46306</v>
      </c>
      <c r="F307" t="inlineStr">
        <is>
          <t>HALLANDS LÄN</t>
        </is>
      </c>
      <c r="G307" t="inlineStr">
        <is>
          <t>HYLTE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45254</v>
      </c>
      <c r="E308" s="1" t="n">
        <v>46306</v>
      </c>
      <c r="F308" t="inlineStr">
        <is>
          <t>HALLANDS LÄN</t>
        </is>
      </c>
      <c r="G308" t="inlineStr">
        <is>
          <t>HYLTE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46306</v>
      </c>
      <c r="F309" t="inlineStr">
        <is>
          <t>HALLANDS LÄN</t>
        </is>
      </c>
      <c r="G309" t="inlineStr">
        <is>
          <t>HYLTE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46306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46306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46306</v>
      </c>
      <c r="F312" t="inlineStr">
        <is>
          <t>HALLANDS LÄN</t>
        </is>
      </c>
      <c r="G312" t="inlineStr">
        <is>
          <t>HYLTE</t>
        </is>
      </c>
      <c r="H312" t="inlineStr">
        <is>
          <t>Bergvik skog väst AB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46306</v>
      </c>
      <c r="F313" t="inlineStr">
        <is>
          <t>HALLANDS LÄN</t>
        </is>
      </c>
      <c r="G313" t="inlineStr">
        <is>
          <t>HYLTE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46306</v>
      </c>
      <c r="F314" t="inlineStr">
        <is>
          <t>HALLANDS LÄN</t>
        </is>
      </c>
      <c r="G314" t="inlineStr">
        <is>
          <t>HYLTE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46306</v>
      </c>
      <c r="F315" t="inlineStr">
        <is>
          <t>HALLANDS LÄN</t>
        </is>
      </c>
      <c r="G315" t="inlineStr">
        <is>
          <t>HYLTE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46306</v>
      </c>
      <c r="F316" t="inlineStr">
        <is>
          <t>HALLANDS LÄN</t>
        </is>
      </c>
      <c r="G316" t="inlineStr">
        <is>
          <t>HYLTE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46306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46306</v>
      </c>
      <c r="F318" t="inlineStr">
        <is>
          <t>HALLANDS LÄN</t>
        </is>
      </c>
      <c r="G318" t="inlineStr">
        <is>
          <t>HYLTE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46306</v>
      </c>
      <c r="F319" t="inlineStr">
        <is>
          <t>HALLANDS LÄN</t>
        </is>
      </c>
      <c r="G319" t="inlineStr">
        <is>
          <t>HYLTE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46306</v>
      </c>
      <c r="F320" t="inlineStr">
        <is>
          <t>HALLANDS LÄN</t>
        </is>
      </c>
      <c r="G320" t="inlineStr">
        <is>
          <t>HYLTE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46306</v>
      </c>
      <c r="F321" t="inlineStr">
        <is>
          <t>HALLANDS LÄN</t>
        </is>
      </c>
      <c r="G321" t="inlineStr">
        <is>
          <t>HYLTE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45568</v>
      </c>
      <c r="E322" s="1" t="n">
        <v>46306</v>
      </c>
      <c r="F322" t="inlineStr">
        <is>
          <t>HALLANDS LÄN</t>
        </is>
      </c>
      <c r="G322" t="inlineStr">
        <is>
          <t>HYLTE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46306</v>
      </c>
      <c r="F323" t="inlineStr">
        <is>
          <t>HALLANDS LÄN</t>
        </is>
      </c>
      <c r="G323" t="inlineStr">
        <is>
          <t>HYLTE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45441</v>
      </c>
      <c r="E324" s="1" t="n">
        <v>46306</v>
      </c>
      <c r="F324" t="inlineStr">
        <is>
          <t>HALLANDS LÄN</t>
        </is>
      </c>
      <c r="G324" t="inlineStr">
        <is>
          <t>HYLTE</t>
        </is>
      </c>
      <c r="H324" t="inlineStr">
        <is>
          <t>Kyrkan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45548</v>
      </c>
      <c r="E325" s="1" t="n">
        <v>46306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46306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46306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46306</v>
      </c>
      <c r="F328" t="inlineStr">
        <is>
          <t>HALLANDS LÄN</t>
        </is>
      </c>
      <c r="G328" t="inlineStr">
        <is>
          <t>HYLTE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46306</v>
      </c>
      <c r="F329" t="inlineStr">
        <is>
          <t>HALLANDS LÄN</t>
        </is>
      </c>
      <c r="G329" t="inlineStr">
        <is>
          <t>HYLTE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46306</v>
      </c>
      <c r="F330" t="inlineStr">
        <is>
          <t>HALLANDS LÄN</t>
        </is>
      </c>
      <c r="G330" t="inlineStr">
        <is>
          <t>HYLTE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46306</v>
      </c>
      <c r="F331" t="inlineStr">
        <is>
          <t>HALLANDS LÄN</t>
        </is>
      </c>
      <c r="G331" t="inlineStr">
        <is>
          <t>HYLTE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46306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45002</v>
      </c>
      <c r="E333" s="1" t="n">
        <v>46306</v>
      </c>
      <c r="F333" t="inlineStr">
        <is>
          <t>HALLANDS LÄN</t>
        </is>
      </c>
      <c r="G333" t="inlineStr">
        <is>
          <t>HYLTE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46306</v>
      </c>
      <c r="F334" t="inlineStr">
        <is>
          <t>HALLANDS LÄN</t>
        </is>
      </c>
      <c r="G334" t="inlineStr">
        <is>
          <t>HYLTE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46306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46306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46306</v>
      </c>
      <c r="F337" t="inlineStr">
        <is>
          <t>HALLANDS LÄN</t>
        </is>
      </c>
      <c r="G337" t="inlineStr">
        <is>
          <t>HYLTE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46306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53939-2025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46306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46306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44823</v>
      </c>
      <c r="E341" s="1" t="n">
        <v>46306</v>
      </c>
      <c r="F341" t="inlineStr">
        <is>
          <t>HALLANDS LÄN</t>
        </is>
      </c>
      <c r="G341" t="inlineStr">
        <is>
          <t>HYLTE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46306</v>
      </c>
      <c r="F342" t="inlineStr">
        <is>
          <t>HALLANDS LÄN</t>
        </is>
      </c>
      <c r="G342" t="inlineStr">
        <is>
          <t>HYLTE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45836</v>
      </c>
      <c r="E343" s="1" t="n">
        <v>46306</v>
      </c>
      <c r="F343" t="inlineStr">
        <is>
          <t>HALLANDS LÄN</t>
        </is>
      </c>
      <c r="G343" t="inlineStr">
        <is>
          <t>HYLTE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45238</v>
      </c>
      <c r="E344" s="1" t="n">
        <v>46306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46306</v>
      </c>
      <c r="F345" t="inlineStr">
        <is>
          <t>HALLANDS LÄN</t>
        </is>
      </c>
      <c r="G345" t="inlineStr">
        <is>
          <t>HYLTE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46306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46306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33233-2025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45840</v>
      </c>
      <c r="E348" s="1" t="n">
        <v>46306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46306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33240-2025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46306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65003-2023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45287</v>
      </c>
      <c r="E351" s="1" t="n">
        <v>46306</v>
      </c>
      <c r="F351" t="inlineStr">
        <is>
          <t>HALLANDS LÄN</t>
        </is>
      </c>
      <c r="G351" t="inlineStr">
        <is>
          <t>HYLTE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20763-2022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44701</v>
      </c>
      <c r="E352" s="1" t="n">
        <v>46306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44735</v>
      </c>
      <c r="E353" s="1" t="n">
        <v>46306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46306</v>
      </c>
      <c r="F354" t="inlineStr">
        <is>
          <t>HALLANDS LÄN</t>
        </is>
      </c>
      <c r="G354" t="inlineStr">
        <is>
          <t>HYLTE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40165-2023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46306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46306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46306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46306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46306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46306</v>
      </c>
      <c r="F360" t="inlineStr">
        <is>
          <t>HALLANDS LÄN</t>
        </is>
      </c>
      <c r="G360" t="inlineStr">
        <is>
          <t>HYLTE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46306</v>
      </c>
      <c r="F361" t="inlineStr">
        <is>
          <t>HALLANDS LÄN</t>
        </is>
      </c>
      <c r="G361" t="inlineStr">
        <is>
          <t>HYLTE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46306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45800</v>
      </c>
      <c r="E363" s="1" t="n">
        <v>46306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46306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46306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46306</v>
      </c>
      <c r="F366" t="inlineStr">
        <is>
          <t>HALLANDS LÄN</t>
        </is>
      </c>
      <c r="G366" t="inlineStr">
        <is>
          <t>HYLTE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46306</v>
      </c>
      <c r="F367" t="inlineStr">
        <is>
          <t>HALLANDS LÄN</t>
        </is>
      </c>
      <c r="G367" t="inlineStr">
        <is>
          <t>HYLTE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46306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46306</v>
      </c>
      <c r="F369" t="inlineStr">
        <is>
          <t>HALLANDS LÄN</t>
        </is>
      </c>
      <c r="G369" t="inlineStr">
        <is>
          <t>HYLTE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45847</v>
      </c>
      <c r="E370" s="1" t="n">
        <v>46306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45254</v>
      </c>
      <c r="E371" s="1" t="n">
        <v>46306</v>
      </c>
      <c r="F371" t="inlineStr">
        <is>
          <t>HALLANDS LÄN</t>
        </is>
      </c>
      <c r="G371" t="inlineStr">
        <is>
          <t>HYLTE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45254</v>
      </c>
      <c r="E372" s="1" t="n">
        <v>46306</v>
      </c>
      <c r="F372" t="inlineStr">
        <is>
          <t>HALLANDS LÄN</t>
        </is>
      </c>
      <c r="G372" t="inlineStr">
        <is>
          <t>HYLTE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46306</v>
      </c>
      <c r="F373" t="inlineStr">
        <is>
          <t>HALLANDS LÄN</t>
        </is>
      </c>
      <c r="G373" t="inlineStr">
        <is>
          <t>HYLTE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46306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46306</v>
      </c>
      <c r="F375" t="inlineStr">
        <is>
          <t>HALLANDS LÄN</t>
        </is>
      </c>
      <c r="G375" t="inlineStr">
        <is>
          <t>HYLTE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44778</v>
      </c>
      <c r="E376" s="1" t="n">
        <v>46306</v>
      </c>
      <c r="F376" t="inlineStr">
        <is>
          <t>HALLANDS LÄN</t>
        </is>
      </c>
      <c r="G376" t="inlineStr">
        <is>
          <t>HYLTE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46306</v>
      </c>
      <c r="F377" t="inlineStr">
        <is>
          <t>HALLANDS LÄN</t>
        </is>
      </c>
      <c r="G377" t="inlineStr">
        <is>
          <t>HYLTE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45483</v>
      </c>
      <c r="E378" s="1" t="n">
        <v>46306</v>
      </c>
      <c r="F378" t="inlineStr">
        <is>
          <t>HALLANDS LÄN</t>
        </is>
      </c>
      <c r="G378" t="inlineStr">
        <is>
          <t>HYLTE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44847</v>
      </c>
      <c r="E379" s="1" t="n">
        <v>46306</v>
      </c>
      <c r="F379" t="inlineStr">
        <is>
          <t>HALLANDS LÄN</t>
        </is>
      </c>
      <c r="G379" t="inlineStr">
        <is>
          <t>HYLTE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10364-2023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46306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46306</v>
      </c>
      <c r="F381" t="inlineStr">
        <is>
          <t>HALLANDS LÄN</t>
        </is>
      </c>
      <c r="G381" t="inlineStr">
        <is>
          <t>HYLTE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44694</v>
      </c>
      <c r="E382" s="1" t="n">
        <v>46306</v>
      </c>
      <c r="F382" t="inlineStr">
        <is>
          <t>HALLANDS LÄN</t>
        </is>
      </c>
      <c r="G382" t="inlineStr">
        <is>
          <t>HYLTE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46306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46306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46306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46306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46306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46306</v>
      </c>
      <c r="F388" t="inlineStr">
        <is>
          <t>HALLANDS LÄN</t>
        </is>
      </c>
      <c r="G388" t="inlineStr">
        <is>
          <t>HYLTE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45051</v>
      </c>
      <c r="E389" s="1" t="n">
        <v>46306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46306</v>
      </c>
      <c r="F390" t="inlineStr">
        <is>
          <t>HALLANDS LÄN</t>
        </is>
      </c>
      <c r="G390" t="inlineStr">
        <is>
          <t>HYLTE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46306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46306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46306</v>
      </c>
      <c r="F393" t="inlineStr">
        <is>
          <t>HALLANDS LÄN</t>
        </is>
      </c>
      <c r="G393" t="inlineStr">
        <is>
          <t>HYLTE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46306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44797</v>
      </c>
      <c r="E395" s="1" t="n">
        <v>46306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46306</v>
      </c>
      <c r="F396" t="inlineStr">
        <is>
          <t>HALLANDS LÄN</t>
        </is>
      </c>
      <c r="G396" t="inlineStr">
        <is>
          <t>HYLTE</t>
        </is>
      </c>
      <c r="H396" t="inlineStr">
        <is>
          <t>Kommuner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46306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46306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46306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46306</v>
      </c>
      <c r="F400" t="inlineStr">
        <is>
          <t>HALLANDS LÄN</t>
        </is>
      </c>
      <c r="G400" t="inlineStr">
        <is>
          <t>HYLTE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45395</v>
      </c>
      <c r="E401" s="1" t="n">
        <v>46306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46306</v>
      </c>
      <c r="F402" t="inlineStr">
        <is>
          <t>HALLANDS LÄN</t>
        </is>
      </c>
      <c r="G402" t="inlineStr">
        <is>
          <t>HYLTE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46306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45272</v>
      </c>
      <c r="E404" s="1" t="n">
        <v>46306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57383-2021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46306</v>
      </c>
      <c r="F405" t="inlineStr">
        <is>
          <t>HALLANDS LÄN</t>
        </is>
      </c>
      <c r="G405" t="inlineStr">
        <is>
          <t>HYLTE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46306</v>
      </c>
      <c r="F406" t="inlineStr">
        <is>
          <t>HALLANDS LÄN</t>
        </is>
      </c>
      <c r="G406" t="inlineStr">
        <is>
          <t>HYLTE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46306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45679</v>
      </c>
      <c r="E408" s="1" t="n">
        <v>46306</v>
      </c>
      <c r="F408" t="inlineStr">
        <is>
          <t>HALLANDS LÄN</t>
        </is>
      </c>
      <c r="G408" t="inlineStr">
        <is>
          <t>HYLTE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46306</v>
      </c>
      <c r="F409" t="inlineStr">
        <is>
          <t>HALLANDS LÄN</t>
        </is>
      </c>
      <c r="G409" t="inlineStr">
        <is>
          <t>HYLTE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45432</v>
      </c>
      <c r="E410" s="1" t="n">
        <v>46306</v>
      </c>
      <c r="F410" t="inlineStr">
        <is>
          <t>HALLANDS LÄN</t>
        </is>
      </c>
      <c r="G410" t="inlineStr">
        <is>
          <t>HYLTE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46306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45131</v>
      </c>
      <c r="E412" s="1" t="n">
        <v>46306</v>
      </c>
      <c r="F412" t="inlineStr">
        <is>
          <t>HALLANDS LÄN</t>
        </is>
      </c>
      <c r="G412" t="inlineStr">
        <is>
          <t>HYLTE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46306</v>
      </c>
      <c r="F413" t="inlineStr">
        <is>
          <t>HALLANDS LÄN</t>
        </is>
      </c>
      <c r="G413" t="inlineStr">
        <is>
          <t>HYLTE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46306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45361</v>
      </c>
      <c r="E415" s="1" t="n">
        <v>46306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46306</v>
      </c>
      <c r="F416" t="inlineStr">
        <is>
          <t>HALLANDS LÄN</t>
        </is>
      </c>
      <c r="G416" t="inlineStr">
        <is>
          <t>HYLTE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45257</v>
      </c>
      <c r="E417" s="1" t="n">
        <v>46306</v>
      </c>
      <c r="F417" t="inlineStr">
        <is>
          <t>HALLANDS LÄN</t>
        </is>
      </c>
      <c r="G417" t="inlineStr">
        <is>
          <t>HYLTE</t>
        </is>
      </c>
      <c r="H417" t="inlineStr">
        <is>
          <t>Kommuner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45727</v>
      </c>
      <c r="E418" s="1" t="n">
        <v>46306</v>
      </c>
      <c r="F418" t="inlineStr">
        <is>
          <t>HALLANDS LÄN</t>
        </is>
      </c>
      <c r="G418" t="inlineStr">
        <is>
          <t>HYLTE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46306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46306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46306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46306</v>
      </c>
      <c r="F422" t="inlineStr">
        <is>
          <t>HALLANDS LÄN</t>
        </is>
      </c>
      <c r="G422" t="inlineStr">
        <is>
          <t>HYLTE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48044-2023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46306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45293</v>
      </c>
      <c r="E424" s="1" t="n">
        <v>46306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46306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16410-2022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44671</v>
      </c>
      <c r="E426" s="1" t="n">
        <v>46306</v>
      </c>
      <c r="F426" t="inlineStr">
        <is>
          <t>HALLANDS LÄN</t>
        </is>
      </c>
      <c r="G426" t="inlineStr">
        <is>
          <t>HYLTE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46306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44592</v>
      </c>
      <c r="E428" s="1" t="n">
        <v>46306</v>
      </c>
      <c r="F428" t="inlineStr">
        <is>
          <t>HALLANDS LÄN</t>
        </is>
      </c>
      <c r="G428" t="inlineStr">
        <is>
          <t>HYLTE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45293</v>
      </c>
      <c r="E429" s="1" t="n">
        <v>46306</v>
      </c>
      <c r="F429" t="inlineStr">
        <is>
          <t>HALLANDS LÄN</t>
        </is>
      </c>
      <c r="G429" t="inlineStr">
        <is>
          <t>HYLTE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45623</v>
      </c>
      <c r="E430" s="1" t="n">
        <v>46306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45199</v>
      </c>
      <c r="E431" s="1" t="n">
        <v>46306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46306</v>
      </c>
      <c r="F432" t="inlineStr">
        <is>
          <t>HALLANDS LÄN</t>
        </is>
      </c>
      <c r="G432" t="inlineStr">
        <is>
          <t>HYLTE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46306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45395</v>
      </c>
      <c r="E434" s="1" t="n">
        <v>46306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46306</v>
      </c>
      <c r="F435" t="inlineStr">
        <is>
          <t>HALLANDS LÄN</t>
        </is>
      </c>
      <c r="G435" t="inlineStr">
        <is>
          <t>HYLTE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46306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46306</v>
      </c>
      <c r="F437" t="inlineStr">
        <is>
          <t>HALLANDS LÄN</t>
        </is>
      </c>
      <c r="G437" t="inlineStr">
        <is>
          <t>HYLTE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44701</v>
      </c>
      <c r="E438" s="1" t="n">
        <v>46306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46306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45517</v>
      </c>
      <c r="E440" s="1" t="n">
        <v>46306</v>
      </c>
      <c r="F440" t="inlineStr">
        <is>
          <t>HALLANDS LÄN</t>
        </is>
      </c>
      <c r="G440" t="inlineStr">
        <is>
          <t>HYLTE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55116-2023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46306</v>
      </c>
      <c r="F441" t="inlineStr">
        <is>
          <t>HALLANDS LÄN</t>
        </is>
      </c>
      <c r="G441" t="inlineStr">
        <is>
          <t>HYLTE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46306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45672</v>
      </c>
      <c r="E443" s="1" t="n">
        <v>46306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45672</v>
      </c>
      <c r="E444" s="1" t="n">
        <v>46306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57397-2021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46306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46306</v>
      </c>
      <c r="F446" t="inlineStr">
        <is>
          <t>HALLANDS LÄN</t>
        </is>
      </c>
      <c r="G446" t="inlineStr">
        <is>
          <t>HYLTE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46306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46306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45309</v>
      </c>
      <c r="E449" s="1" t="n">
        <v>46306</v>
      </c>
      <c r="F449" t="inlineStr">
        <is>
          <t>HALLANDS LÄN</t>
        </is>
      </c>
      <c r="G449" t="inlineStr">
        <is>
          <t>HYLTE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63808-2021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44508</v>
      </c>
      <c r="E450" s="1" t="n">
        <v>46306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45623</v>
      </c>
      <c r="E451" s="1" t="n">
        <v>46306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45252</v>
      </c>
      <c r="E452" s="1" t="n">
        <v>46306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46306</v>
      </c>
      <c r="F453" t="inlineStr">
        <is>
          <t>HALLANDS LÄN</t>
        </is>
      </c>
      <c r="G453" t="inlineStr">
        <is>
          <t>HYLTE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44866-2023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45190</v>
      </c>
      <c r="E454" s="1" t="n">
        <v>46306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39143-2022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44817</v>
      </c>
      <c r="E455" s="1" t="n">
        <v>46306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46306</v>
      </c>
      <c r="F456" t="inlineStr">
        <is>
          <t>HALLANDS LÄN</t>
        </is>
      </c>
      <c r="G456" t="inlineStr">
        <is>
          <t>HYLTE</t>
        </is>
      </c>
      <c r="I456" t="n">
        <v>13.3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45545</v>
      </c>
      <c r="E457" s="1" t="n">
        <v>46306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45199</v>
      </c>
      <c r="E458" s="1" t="n">
        <v>46306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46306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57211-2022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44889</v>
      </c>
      <c r="E460" s="1" t="n">
        <v>46306</v>
      </c>
      <c r="F460" t="inlineStr">
        <is>
          <t>HALLANDS LÄN</t>
        </is>
      </c>
      <c r="G460" t="inlineStr">
        <is>
          <t>HYLTE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45623</v>
      </c>
      <c r="E461" s="1" t="n">
        <v>46306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46306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46306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46306</v>
      </c>
      <c r="F464" t="inlineStr">
        <is>
          <t>HALLANDS LÄN</t>
        </is>
      </c>
      <c r="G464" t="inlineStr">
        <is>
          <t>HYLTE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74307-2021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44559</v>
      </c>
      <c r="E465" s="1" t="n">
        <v>46306</v>
      </c>
      <c r="F465" t="inlineStr">
        <is>
          <t>HALLANDS LÄN</t>
        </is>
      </c>
      <c r="G465" t="inlineStr">
        <is>
          <t>HYLTE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45877</v>
      </c>
      <c r="E466" s="1" t="n">
        <v>46306</v>
      </c>
      <c r="F466" t="inlineStr">
        <is>
          <t>HALLANDS LÄN</t>
        </is>
      </c>
      <c r="G466" t="inlineStr">
        <is>
          <t>HYLTE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46306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46306</v>
      </c>
      <c r="F468" t="inlineStr">
        <is>
          <t>HALLANDS LÄN</t>
        </is>
      </c>
      <c r="G468" t="inlineStr">
        <is>
          <t>HYLTE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46306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46306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46306</v>
      </c>
      <c r="F471" t="inlineStr">
        <is>
          <t>HALLANDS LÄN</t>
        </is>
      </c>
      <c r="G471" t="inlineStr">
        <is>
          <t>HYLTE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46306</v>
      </c>
      <c r="F472" t="inlineStr">
        <is>
          <t>HALLANDS LÄN</t>
        </is>
      </c>
      <c r="G472" t="inlineStr">
        <is>
          <t>HYLTE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46306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45104</v>
      </c>
      <c r="E474" s="1" t="n">
        <v>46306</v>
      </c>
      <c r="F474" t="inlineStr">
        <is>
          <t>HALLANDS LÄN</t>
        </is>
      </c>
      <c r="G474" t="inlineStr">
        <is>
          <t>HYLTE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45334</v>
      </c>
      <c r="E475" s="1" t="n">
        <v>46306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45352</v>
      </c>
      <c r="E476" s="1" t="n">
        <v>46306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46306</v>
      </c>
      <c r="F477" t="inlineStr">
        <is>
          <t>HALLANDS LÄN</t>
        </is>
      </c>
      <c r="G477" t="inlineStr">
        <is>
          <t>HYLTE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46306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46306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45987</v>
      </c>
      <c r="E480" s="1" t="n">
        <v>46306</v>
      </c>
      <c r="F480" t="inlineStr">
        <is>
          <t>HALLANDS LÄN</t>
        </is>
      </c>
      <c r="G480" t="inlineStr">
        <is>
          <t>HYLTE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44796</v>
      </c>
      <c r="E481" s="1" t="n">
        <v>46306</v>
      </c>
      <c r="F481" t="inlineStr">
        <is>
          <t>HALLANDS LÄN</t>
        </is>
      </c>
      <c r="G481" t="inlineStr">
        <is>
          <t>HYLTE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46306</v>
      </c>
      <c r="F482" t="inlineStr">
        <is>
          <t>HALLANDS LÄN</t>
        </is>
      </c>
      <c r="G482" t="inlineStr">
        <is>
          <t>HYLTE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45019</v>
      </c>
      <c r="E483" s="1" t="n">
        <v>46306</v>
      </c>
      <c r="F483" t="inlineStr">
        <is>
          <t>HALLANDS LÄN</t>
        </is>
      </c>
      <c r="G483" t="inlineStr">
        <is>
          <t>HYLTE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46306</v>
      </c>
      <c r="F484" t="inlineStr">
        <is>
          <t>HALLANDS LÄN</t>
        </is>
      </c>
      <c r="G484" t="inlineStr">
        <is>
          <t>HYLTE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46306</v>
      </c>
      <c r="F485" t="inlineStr">
        <is>
          <t>HALLANDS LÄN</t>
        </is>
      </c>
      <c r="G485" t="inlineStr">
        <is>
          <t>HYLTE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58221-2022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44901</v>
      </c>
      <c r="E486" s="1" t="n">
        <v>46306</v>
      </c>
      <c r="F486" t="inlineStr">
        <is>
          <t>HALLANDS LÄN</t>
        </is>
      </c>
      <c r="G486" t="inlineStr">
        <is>
          <t>HYLTE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45589</v>
      </c>
      <c r="E487" s="1" t="n">
        <v>46306</v>
      </c>
      <c r="F487" t="inlineStr">
        <is>
          <t>HALLANDS LÄN</t>
        </is>
      </c>
      <c r="G487" t="inlineStr">
        <is>
          <t>HYLTE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46306</v>
      </c>
      <c r="F488" t="inlineStr">
        <is>
          <t>HALLANDS LÄN</t>
        </is>
      </c>
      <c r="G488" t="inlineStr">
        <is>
          <t>HYLTE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46306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46306</v>
      </c>
      <c r="F490" t="inlineStr">
        <is>
          <t>HALLANDS LÄN</t>
        </is>
      </c>
      <c r="G490" t="inlineStr">
        <is>
          <t>HYLTE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46306</v>
      </c>
      <c r="F491" t="inlineStr">
        <is>
          <t>HALLANDS LÄN</t>
        </is>
      </c>
      <c r="G491" t="inlineStr">
        <is>
          <t>HYLTE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46306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46306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46306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46306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46306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46306</v>
      </c>
      <c r="F497" t="inlineStr">
        <is>
          <t>HALLANDS LÄN</t>
        </is>
      </c>
      <c r="G497" t="inlineStr">
        <is>
          <t>HYLTE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46306</v>
      </c>
      <c r="F498" t="inlineStr">
        <is>
          <t>HALLANDS LÄN</t>
        </is>
      </c>
      <c r="G498" t="inlineStr">
        <is>
          <t>HYLTE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46306</v>
      </c>
      <c r="F499" t="inlineStr">
        <is>
          <t>HALLANDS LÄN</t>
        </is>
      </c>
      <c r="G499" t="inlineStr">
        <is>
          <t>HYLTE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46306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46306</v>
      </c>
      <c r="F501" t="inlineStr">
        <is>
          <t>HALLANDS LÄN</t>
        </is>
      </c>
      <c r="G501" t="inlineStr">
        <is>
          <t>HYLTE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46306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45548</v>
      </c>
      <c r="E503" s="1" t="n">
        <v>46306</v>
      </c>
      <c r="F503" t="inlineStr">
        <is>
          <t>HALLANDS LÄN</t>
        </is>
      </c>
      <c r="G503" t="inlineStr">
        <is>
          <t>HYLTE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46306</v>
      </c>
      <c r="F504" t="inlineStr">
        <is>
          <t>HALLANDS LÄN</t>
        </is>
      </c>
      <c r="G504" t="inlineStr">
        <is>
          <t>HYLTE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60655-2025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46306</v>
      </c>
      <c r="F505" t="inlineStr">
        <is>
          <t>HALLANDS LÄN</t>
        </is>
      </c>
      <c r="G505" t="inlineStr">
        <is>
          <t>HYLTE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17747-2026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46306</v>
      </c>
      <c r="F506" t="inlineStr">
        <is>
          <t>HALLANDS LÄN</t>
        </is>
      </c>
      <c r="G506" t="inlineStr">
        <is>
          <t>HYLTE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44958</v>
      </c>
      <c r="E507" s="1" t="n">
        <v>46306</v>
      </c>
      <c r="F507" t="inlineStr">
        <is>
          <t>HALLANDS LÄN</t>
        </is>
      </c>
      <c r="G507" t="inlineStr">
        <is>
          <t>HYLTE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46306</v>
      </c>
      <c r="F508" t="inlineStr">
        <is>
          <t>HALLANDS LÄN</t>
        </is>
      </c>
      <c r="G508" t="inlineStr">
        <is>
          <t>HYLTE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46306</v>
      </c>
      <c r="F509" t="inlineStr">
        <is>
          <t>HALLANDS LÄN</t>
        </is>
      </c>
      <c r="G509" t="inlineStr">
        <is>
          <t>HYLTE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46306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1950-2022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44575</v>
      </c>
      <c r="E511" s="1" t="n">
        <v>46306</v>
      </c>
      <c r="F511" t="inlineStr">
        <is>
          <t>HALLANDS LÄN</t>
        </is>
      </c>
      <c r="G511" t="inlineStr">
        <is>
          <t>HYLTE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46306</v>
      </c>
      <c r="F512" t="inlineStr">
        <is>
          <t>HALLANDS LÄN</t>
        </is>
      </c>
      <c r="G512" t="inlineStr">
        <is>
          <t>HYLTE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46128</v>
      </c>
      <c r="E513" s="1" t="n">
        <v>46306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44951</v>
      </c>
      <c r="E514" s="1" t="n">
        <v>46306</v>
      </c>
      <c r="F514" t="inlineStr">
        <is>
          <t>HALLANDS LÄN</t>
        </is>
      </c>
      <c r="G514" t="inlineStr">
        <is>
          <t>HYLTE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45265</v>
      </c>
      <c r="E515" s="1" t="n">
        <v>46306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45351</v>
      </c>
      <c r="E516" s="1" t="n">
        <v>46306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45432</v>
      </c>
      <c r="E517" s="1" t="n">
        <v>46306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45926</v>
      </c>
      <c r="E518" s="1" t="n">
        <v>46306</v>
      </c>
      <c r="F518" t="inlineStr">
        <is>
          <t>HALLANDS LÄN</t>
        </is>
      </c>
      <c r="G518" t="inlineStr">
        <is>
          <t>HYLTE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46306</v>
      </c>
      <c r="F519" t="inlineStr">
        <is>
          <t>HALLANDS LÄN</t>
        </is>
      </c>
      <c r="G519" t="inlineStr">
        <is>
          <t>HYLTE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46306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45246</v>
      </c>
      <c r="E521" s="1" t="n">
        <v>46306</v>
      </c>
      <c r="F521" t="inlineStr">
        <is>
          <t>HALLANDS LÄN</t>
        </is>
      </c>
      <c r="G521" t="inlineStr">
        <is>
          <t>HYLTE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46306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45426</v>
      </c>
      <c r="E523" s="1" t="n">
        <v>46306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46306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45411</v>
      </c>
      <c r="E525" s="1" t="n">
        <v>46306</v>
      </c>
      <c r="F525" t="inlineStr">
        <is>
          <t>HALLANDS LÄN</t>
        </is>
      </c>
      <c r="G525" t="inlineStr">
        <is>
          <t>HYLTE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32987-2025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45840</v>
      </c>
      <c r="E526" s="1" t="n">
        <v>46306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71120-2021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44539</v>
      </c>
      <c r="E527" s="1" t="n">
        <v>46306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46020</v>
      </c>
      <c r="E528" s="1" t="n">
        <v>46306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45441</v>
      </c>
      <c r="E529" s="1" t="n">
        <v>46306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46306</v>
      </c>
      <c r="F530" t="inlineStr">
        <is>
          <t>HALLANDS LÄN</t>
        </is>
      </c>
      <c r="G530" t="inlineStr">
        <is>
          <t>HYLTE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45624</v>
      </c>
      <c r="E531" s="1" t="n">
        <v>46306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46306</v>
      </c>
      <c r="F532" t="inlineStr">
        <is>
          <t>HALLANDS LÄN</t>
        </is>
      </c>
      <c r="G532" t="inlineStr">
        <is>
          <t>HYLTE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46306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46306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45916-2024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46306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45568</v>
      </c>
      <c r="E536" s="1" t="n">
        <v>46306</v>
      </c>
      <c r="F536" t="inlineStr">
        <is>
          <t>HALLANDS LÄN</t>
        </is>
      </c>
      <c r="G536" t="inlineStr">
        <is>
          <t>HYLTE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46306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46306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44714</v>
      </c>
      <c r="E539" s="1" t="n">
        <v>46306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46306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45163</v>
      </c>
      <c r="E541" s="1" t="n">
        <v>46306</v>
      </c>
      <c r="F541" t="inlineStr">
        <is>
          <t>HALLANDS LÄN</t>
        </is>
      </c>
      <c r="G541" t="inlineStr">
        <is>
          <t>HYLTE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46946-2022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44851</v>
      </c>
      <c r="E542" s="1" t="n">
        <v>46306</v>
      </c>
      <c r="F542" t="inlineStr">
        <is>
          <t>HALLANDS LÄN</t>
        </is>
      </c>
      <c r="G542" t="inlineStr">
        <is>
          <t>HYLTE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46948-2022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46306</v>
      </c>
      <c r="F543" t="inlineStr">
        <is>
          <t>HALLANDS LÄN</t>
        </is>
      </c>
      <c r="G543" t="inlineStr">
        <is>
          <t>HYLTE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45035</v>
      </c>
      <c r="E544" s="1" t="n">
        <v>46306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44726</v>
      </c>
      <c r="E545" s="1" t="n">
        <v>46306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46306</v>
      </c>
      <c r="F546" t="inlineStr">
        <is>
          <t>HALLANDS LÄN</t>
        </is>
      </c>
      <c r="G546" t="inlineStr">
        <is>
          <t>HYLTE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45531</v>
      </c>
      <c r="E547" s="1" t="n">
        <v>46306</v>
      </c>
      <c r="F547" t="inlineStr">
        <is>
          <t>HALLANDS LÄN</t>
        </is>
      </c>
      <c r="G547" t="inlineStr">
        <is>
          <t>HYLTE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45817</v>
      </c>
      <c r="E548" s="1" t="n">
        <v>46306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46306</v>
      </c>
      <c r="F549" t="inlineStr">
        <is>
          <t>HALLANDS LÄN</t>
        </is>
      </c>
      <c r="G549" t="inlineStr">
        <is>
          <t>HYLTE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45839</v>
      </c>
      <c r="E550" s="1" t="n">
        <v>46306</v>
      </c>
      <c r="F550" t="inlineStr">
        <is>
          <t>HALLANDS LÄN</t>
        </is>
      </c>
      <c r="G550" t="inlineStr">
        <is>
          <t>HYLTE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46306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45848</v>
      </c>
      <c r="E552" s="1" t="n">
        <v>46306</v>
      </c>
      <c r="F552" t="inlineStr">
        <is>
          <t>HALLANDS LÄN</t>
        </is>
      </c>
      <c r="G552" t="inlineStr">
        <is>
          <t>HYLTE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46306</v>
      </c>
      <c r="F553" t="inlineStr">
        <is>
          <t>HALLANDS LÄN</t>
        </is>
      </c>
      <c r="G553" t="inlineStr">
        <is>
          <t>HYLTE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46306</v>
      </c>
      <c r="F554" t="inlineStr">
        <is>
          <t>HALLANDS LÄN</t>
        </is>
      </c>
      <c r="G554" t="inlineStr">
        <is>
          <t>HYLTE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15313-2023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46306</v>
      </c>
      <c r="F555" t="inlineStr">
        <is>
          <t>HALLANDS LÄN</t>
        </is>
      </c>
      <c r="G555" t="inlineStr">
        <is>
          <t>HYLTE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46306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46306</v>
      </c>
      <c r="F557" t="inlineStr">
        <is>
          <t>HALLANDS LÄN</t>
        </is>
      </c>
      <c r="G557" t="inlineStr">
        <is>
          <t>HYLTE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45434</v>
      </c>
      <c r="E558" s="1" t="n">
        <v>46306</v>
      </c>
      <c r="F558" t="inlineStr">
        <is>
          <t>HALLANDS LÄN</t>
        </is>
      </c>
      <c r="G558" t="inlineStr">
        <is>
          <t>HYLTE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46044</v>
      </c>
      <c r="E559" s="1" t="n">
        <v>46306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46306</v>
      </c>
      <c r="F560" t="inlineStr">
        <is>
          <t>HALLANDS LÄN</t>
        </is>
      </c>
      <c r="G560" t="inlineStr">
        <is>
          <t>HYLTE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46306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46306</v>
      </c>
      <c r="F562" t="inlineStr">
        <is>
          <t>HALLANDS LÄN</t>
        </is>
      </c>
      <c r="G562" t="inlineStr">
        <is>
          <t>HYLTE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46306</v>
      </c>
      <c r="F563" t="inlineStr">
        <is>
          <t>HALLANDS LÄN</t>
        </is>
      </c>
      <c r="G563" t="inlineStr">
        <is>
          <t>HYLTE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46306</v>
      </c>
      <c r="F564" t="inlineStr">
        <is>
          <t>HALLANDS LÄN</t>
        </is>
      </c>
      <c r="G564" t="inlineStr">
        <is>
          <t>HYLTE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46306</v>
      </c>
      <c r="F565" t="inlineStr">
        <is>
          <t>HALLANDS LÄN</t>
        </is>
      </c>
      <c r="G565" t="inlineStr">
        <is>
          <t>HYLTE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46306</v>
      </c>
      <c r="F566" t="inlineStr">
        <is>
          <t>HALLANDS LÄN</t>
        </is>
      </c>
      <c r="G566" t="inlineStr">
        <is>
          <t>HYLTE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46306</v>
      </c>
      <c r="F567" t="inlineStr">
        <is>
          <t>HALLANDS LÄN</t>
        </is>
      </c>
      <c r="G567" t="inlineStr">
        <is>
          <t>HYLTE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46306</v>
      </c>
      <c r="F568" t="inlineStr">
        <is>
          <t>HALLANDS LÄN</t>
        </is>
      </c>
      <c r="G568" t="inlineStr">
        <is>
          <t>HYLTE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46306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46306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46306</v>
      </c>
      <c r="F571" t="inlineStr">
        <is>
          <t>HALLANDS LÄN</t>
        </is>
      </c>
      <c r="G571" t="inlineStr">
        <is>
          <t>HYLTE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46306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46306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46306</v>
      </c>
      <c r="F574" t="inlineStr">
        <is>
          <t>HALLANDS LÄN</t>
        </is>
      </c>
      <c r="G574" t="inlineStr">
        <is>
          <t>HYLTE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46306</v>
      </c>
      <c r="F575" t="inlineStr">
        <is>
          <t>HALLANDS LÄN</t>
        </is>
      </c>
      <c r="G575" t="inlineStr">
        <is>
          <t>HYLTE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46306</v>
      </c>
      <c r="F576" t="inlineStr">
        <is>
          <t>HALLANDS LÄN</t>
        </is>
      </c>
      <c r="G576" t="inlineStr">
        <is>
          <t>HYLTE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46306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46306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46055</v>
      </c>
      <c r="E579" s="1" t="n">
        <v>46306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46057</v>
      </c>
      <c r="E580" s="1" t="n">
        <v>46306</v>
      </c>
      <c r="F580" t="inlineStr">
        <is>
          <t>HALLANDS LÄN</t>
        </is>
      </c>
      <c r="G580" t="inlineStr">
        <is>
          <t>HYLTE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46306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46306</v>
      </c>
      <c r="F582" t="inlineStr">
        <is>
          <t>HALLANDS LÄN</t>
        </is>
      </c>
      <c r="G582" t="inlineStr">
        <is>
          <t>HYLTE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46306</v>
      </c>
      <c r="F583" t="inlineStr">
        <is>
          <t>HALLANDS LÄN</t>
        </is>
      </c>
      <c r="G583" t="inlineStr">
        <is>
          <t>HYLTE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46148</v>
      </c>
      <c r="E584" s="1" t="n">
        <v>46306</v>
      </c>
      <c r="F584" t="inlineStr">
        <is>
          <t>HALLANDS LÄN</t>
        </is>
      </c>
      <c r="G584" t="inlineStr">
        <is>
          <t>HYLTE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46306</v>
      </c>
      <c r="F585" t="inlineStr">
        <is>
          <t>HALLANDS LÄN</t>
        </is>
      </c>
      <c r="G585" t="inlineStr">
        <is>
          <t>HYLTE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46306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46306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46306</v>
      </c>
      <c r="F588" t="inlineStr">
        <is>
          <t>HALLANDS LÄN</t>
        </is>
      </c>
      <c r="G588" t="inlineStr">
        <is>
          <t>HYLTE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46306</v>
      </c>
      <c r="F589" t="inlineStr">
        <is>
          <t>HALLANDS LÄN</t>
        </is>
      </c>
      <c r="G589" t="inlineStr">
        <is>
          <t>HYLTE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46306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8388-2025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45709</v>
      </c>
      <c r="E591" s="1" t="n">
        <v>46306</v>
      </c>
      <c r="F591" t="inlineStr">
        <is>
          <t>HALLANDS LÄN</t>
        </is>
      </c>
      <c r="G591" t="inlineStr">
        <is>
          <t>HYLTE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46306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46306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46306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46306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46306</v>
      </c>
      <c r="F596" t="inlineStr">
        <is>
          <t>HALLANDS LÄN</t>
        </is>
      </c>
      <c r="G596" t="inlineStr">
        <is>
          <t>HYLTE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46306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46306</v>
      </c>
      <c r="F598" t="inlineStr">
        <is>
          <t>HALLANDS LÄN</t>
        </is>
      </c>
      <c r="G598" t="inlineStr">
        <is>
          <t>HYLTE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23101-2026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46306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46306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46306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46306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46306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46306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46306</v>
      </c>
      <c r="F605" t="inlineStr">
        <is>
          <t>HALLANDS LÄN</t>
        </is>
      </c>
      <c r="G605" t="inlineStr">
        <is>
          <t>HYLTE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46306</v>
      </c>
      <c r="F606" t="inlineStr">
        <is>
          <t>HALLANDS LÄN</t>
        </is>
      </c>
      <c r="G606" t="inlineStr">
        <is>
          <t>HYLTE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46306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46169</v>
      </c>
      <c r="E608" s="1" t="n">
        <v>46306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46169</v>
      </c>
      <c r="E609" s="1" t="n">
        <v>46306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46306</v>
      </c>
      <c r="F610" t="inlineStr">
        <is>
          <t>HALLANDS LÄN</t>
        </is>
      </c>
      <c r="G610" t="inlineStr">
        <is>
          <t>HYLTE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46170</v>
      </c>
      <c r="E611" s="1" t="n">
        <v>46306</v>
      </c>
      <c r="F611" t="inlineStr">
        <is>
          <t>HALLANDS LÄN</t>
        </is>
      </c>
      <c r="G611" t="inlineStr">
        <is>
          <t>HYLTE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46306</v>
      </c>
      <c r="F612" t="inlineStr">
        <is>
          <t>HALLANDS LÄN</t>
        </is>
      </c>
      <c r="G612" t="inlineStr">
        <is>
          <t>HYLTE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46175</v>
      </c>
      <c r="E613" s="1" t="n">
        <v>46306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46306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46306</v>
      </c>
      <c r="F615" t="inlineStr">
        <is>
          <t>HALLANDS LÄN</t>
        </is>
      </c>
      <c r="G615" t="inlineStr">
        <is>
          <t>HYLTE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46306</v>
      </c>
      <c r="F616" t="inlineStr">
        <is>
          <t>HALLANDS LÄN</t>
        </is>
      </c>
      <c r="G616" t="inlineStr">
        <is>
          <t>HYLTE</t>
        </is>
      </c>
      <c r="I616" t="n">
        <v>17.9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46306</v>
      </c>
      <c r="F617" t="inlineStr">
        <is>
          <t>HALLANDS LÄN</t>
        </is>
      </c>
      <c r="G617" t="inlineStr">
        <is>
          <t>HYLTE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46306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46306</v>
      </c>
      <c r="F619" t="inlineStr">
        <is>
          <t>HALLANDS LÄN</t>
        </is>
      </c>
      <c r="G619" t="inlineStr">
        <is>
          <t>HYLTE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46306</v>
      </c>
      <c r="F620" t="inlineStr">
        <is>
          <t>HALLANDS LÄN</t>
        </is>
      </c>
      <c r="G620" t="inlineStr">
        <is>
          <t>HYLTE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46306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46306</v>
      </c>
      <c r="F622" t="inlineStr">
        <is>
          <t>HALLANDS LÄN</t>
        </is>
      </c>
      <c r="G622" t="inlineStr">
        <is>
          <t>HYLTE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46306</v>
      </c>
      <c r="F623" t="inlineStr">
        <is>
          <t>HALLANDS LÄN</t>
        </is>
      </c>
      <c r="G623" t="inlineStr">
        <is>
          <t>HYLTE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46306</v>
      </c>
      <c r="F624" t="inlineStr">
        <is>
          <t>HALLANDS LÄN</t>
        </is>
      </c>
      <c r="G624" t="inlineStr">
        <is>
          <t>HYLTE</t>
        </is>
      </c>
      <c r="I624" t="n">
        <v>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31168-2026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46209</v>
      </c>
      <c r="E625" s="1" t="n">
        <v>46306</v>
      </c>
      <c r="F625" t="inlineStr">
        <is>
          <t>HALLANDS LÄN</t>
        </is>
      </c>
      <c r="G625" t="inlineStr">
        <is>
          <t>HYLTE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46306</v>
      </c>
      <c r="F626" t="inlineStr">
        <is>
          <t>HALLANDS LÄN</t>
        </is>
      </c>
      <c r="G626" t="inlineStr">
        <is>
          <t>HYLTE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46263</v>
      </c>
      <c r="E627" s="1" t="n">
        <v>46306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46224</v>
      </c>
      <c r="E628" s="1" t="n">
        <v>46306</v>
      </c>
      <c r="F628" t="inlineStr">
        <is>
          <t>HALLANDS LÄN</t>
        </is>
      </c>
      <c r="G628" t="inlineStr">
        <is>
          <t>HYLTE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46268</v>
      </c>
      <c r="E629" s="1" t="n">
        <v>46306</v>
      </c>
      <c r="F629" t="inlineStr">
        <is>
          <t>HALLANDS LÄN</t>
        </is>
      </c>
      <c r="G629" t="inlineStr">
        <is>
          <t>HYLTE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46268</v>
      </c>
      <c r="E630" s="1" t="n">
        <v>46306</v>
      </c>
      <c r="F630" t="inlineStr">
        <is>
          <t>HALLANDS LÄN</t>
        </is>
      </c>
      <c r="G630" t="inlineStr">
        <is>
          <t>HYLTE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46268</v>
      </c>
      <c r="E631" s="1" t="n">
        <v>46306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46306</v>
      </c>
      <c r="F632" t="inlineStr">
        <is>
          <t>HALLANDS LÄN</t>
        </is>
      </c>
      <c r="G632" t="inlineStr">
        <is>
          <t>HYLTE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37038-2026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46306</v>
      </c>
      <c r="F633" t="inlineStr">
        <is>
          <t>HALLANDS LÄN</t>
        </is>
      </c>
      <c r="G633" t="inlineStr">
        <is>
          <t>HYLTE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32989-2025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46306</v>
      </c>
      <c r="F634" t="inlineStr">
        <is>
          <t>HALLANDS LÄN</t>
        </is>
      </c>
      <c r="G634" t="inlineStr">
        <is>
          <t>HYLTE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46306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36862-2026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46306</v>
      </c>
      <c r="F636" t="inlineStr">
        <is>
          <t>HALLANDS LÄN</t>
        </is>
      </c>
      <c r="G636" t="inlineStr">
        <is>
          <t>HYLTE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46306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46279</v>
      </c>
      <c r="E638" s="1" t="n">
        <v>46306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37711-2026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46279</v>
      </c>
      <c r="E639" s="1" t="n">
        <v>46306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46306</v>
      </c>
      <c r="F640" t="inlineStr">
        <is>
          <t>HALLANDS LÄN</t>
        </is>
      </c>
      <c r="G640" t="inlineStr">
        <is>
          <t>HYLTE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38479-2026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46282</v>
      </c>
      <c r="E641" s="1" t="n">
        <v>46306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46306</v>
      </c>
      <c r="F642" t="inlineStr">
        <is>
          <t>HALLANDS LÄN</t>
        </is>
      </c>
      <c r="G642" t="inlineStr">
        <is>
          <t>HYLTE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45939</v>
      </c>
      <c r="E643" s="1" t="n">
        <v>46306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46241</v>
      </c>
      <c r="E644" s="1" t="n">
        <v>46306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38747-2026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46306</v>
      </c>
      <c r="F645" t="inlineStr">
        <is>
          <t>HALLANDS LÄN</t>
        </is>
      </c>
      <c r="G645" t="inlineStr">
        <is>
          <t>HYLTE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46306</v>
      </c>
      <c r="F646" t="inlineStr">
        <is>
          <t>HALLANDS LÄN</t>
        </is>
      </c>
      <c r="G646" t="inlineStr">
        <is>
          <t>HYLTE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46306</v>
      </c>
      <c r="F647" t="inlineStr">
        <is>
          <t>HALLANDS LÄN</t>
        </is>
      </c>
      <c r="G647" t="inlineStr">
        <is>
          <t>HYLTE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46283</v>
      </c>
      <c r="E648" s="1" t="n">
        <v>46306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46306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46306</v>
      </c>
      <c r="F650" t="inlineStr">
        <is>
          <t>HALLANDS LÄN</t>
        </is>
      </c>
      <c r="G650" t="inlineStr">
        <is>
          <t>HYLTE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46306</v>
      </c>
      <c r="F651" t="inlineStr">
        <is>
          <t>HALLANDS LÄN</t>
        </is>
      </c>
      <c r="G651" t="inlineStr">
        <is>
          <t>HYLTE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46306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46281</v>
      </c>
      <c r="E653" s="1" t="n">
        <v>46306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46281</v>
      </c>
      <c r="E654" s="1" t="n">
        <v>46306</v>
      </c>
      <c r="F654" t="inlineStr">
        <is>
          <t>HALLANDS LÄN</t>
        </is>
      </c>
      <c r="G654" t="inlineStr">
        <is>
          <t>HYLTE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46247</v>
      </c>
      <c r="E655" s="1" t="n">
        <v>46306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46306</v>
      </c>
      <c r="F656" t="inlineStr">
        <is>
          <t>HALLANDS LÄN</t>
        </is>
      </c>
      <c r="G656" t="inlineStr">
        <is>
          <t>HYLTE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46306</v>
      </c>
      <c r="F657" t="inlineStr">
        <is>
          <t>HALLANDS LÄN</t>
        </is>
      </c>
      <c r="G657" t="inlineStr">
        <is>
          <t>HYLTE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40161-2026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46293</v>
      </c>
      <c r="E658" s="1" t="n">
        <v>46306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46306</v>
      </c>
      <c r="F659" t="inlineStr">
        <is>
          <t>HALLANDS LÄN</t>
        </is>
      </c>
      <c r="G659" t="inlineStr">
        <is>
          <t>HYLTE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39971-2026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46292</v>
      </c>
      <c r="E660" s="1" t="n">
        <v>46306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46306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40636-2026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46295</v>
      </c>
      <c r="E662" s="1" t="n">
        <v>46306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46306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46306</v>
      </c>
      <c r="F664" t="inlineStr">
        <is>
          <t>HALLANDS LÄN</t>
        </is>
      </c>
      <c r="G664" t="inlineStr">
        <is>
          <t>HYLTE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46306</v>
      </c>
      <c r="F665" t="inlineStr">
        <is>
          <t>HALLANDS LÄN</t>
        </is>
      </c>
      <c r="G665" t="inlineStr">
        <is>
          <t>HYLTE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45876</v>
      </c>
      <c r="E666" s="1" t="n">
        <v>46306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46302</v>
      </c>
      <c r="E667" s="1" t="n">
        <v>46306</v>
      </c>
      <c r="F667" t="inlineStr">
        <is>
          <t>HALLANDS LÄN</t>
        </is>
      </c>
      <c r="G667" t="inlineStr">
        <is>
          <t>HYLTE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46302</v>
      </c>
      <c r="E668" s="1" t="n">
        <v>46306</v>
      </c>
      <c r="F668" t="inlineStr">
        <is>
          <t>HALLANDS LÄN</t>
        </is>
      </c>
      <c r="G668" t="inlineStr">
        <is>
          <t>HYLTE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46306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46294</v>
      </c>
      <c r="E670" s="1" t="n">
        <v>46306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46306</v>
      </c>
      <c r="F671" t="inlineStr">
        <is>
          <t>HALLANDS LÄN</t>
        </is>
      </c>
      <c r="G671" t="inlineStr">
        <is>
          <t>HYLTE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46292</v>
      </c>
      <c r="E672" s="1" t="n">
        <v>46306</v>
      </c>
      <c r="F672" t="inlineStr">
        <is>
          <t>HALLANDS LÄN</t>
        </is>
      </c>
      <c r="G672" t="inlineStr">
        <is>
          <t>HYLTE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39972-2026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46292</v>
      </c>
      <c r="E673" s="1" t="n">
        <v>46306</v>
      </c>
      <c r="F673" t="inlineStr">
        <is>
          <t>HALLANDS LÄN</t>
        </is>
      </c>
      <c r="G673" t="inlineStr">
        <is>
          <t>HYLTE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46292</v>
      </c>
      <c r="E674" s="1" t="n">
        <v>46306</v>
      </c>
      <c r="F674" t="inlineStr">
        <is>
          <t>HALLANDS LÄN</t>
        </is>
      </c>
      <c r="G674" t="inlineStr">
        <is>
          <t>HYLTE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39973-2026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46292</v>
      </c>
      <c r="E675" s="1" t="n">
        <v>46306</v>
      </c>
      <c r="F675" t="inlineStr">
        <is>
          <t>HALLANDS LÄN</t>
        </is>
      </c>
      <c r="G675" t="inlineStr">
        <is>
          <t>HYLTE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46306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46292</v>
      </c>
      <c r="E677" s="1" t="n">
        <v>46306</v>
      </c>
      <c r="F677" t="inlineStr">
        <is>
          <t>HALLANDS LÄN</t>
        </is>
      </c>
      <c r="G677" t="inlineStr">
        <is>
          <t>HYLTE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46306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1038-2022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44613</v>
      </c>
      <c r="E679" s="1" t="n">
        <v>46306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953-2022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44608</v>
      </c>
      <c r="E680" s="1" t="n">
        <v>46306</v>
      </c>
      <c r="F680" t="inlineStr">
        <is>
          <t>HALLANDS LÄN</t>
        </is>
      </c>
      <c r="G680" t="inlineStr">
        <is>
          <t>HYLTE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1388-2022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46306</v>
      </c>
      <c r="F681" t="inlineStr">
        <is>
          <t>HALLANDS LÄN</t>
        </is>
      </c>
      <c r="G681" t="inlineStr">
        <is>
          <t>HYLTE</t>
        </is>
      </c>
      <c r="I681" t="n">
        <v>61.4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44631</v>
      </c>
      <c r="E682" s="1" t="n">
        <v>46306</v>
      </c>
      <c r="F682" t="inlineStr">
        <is>
          <t>HALLANDS LÄN</t>
        </is>
      </c>
      <c r="G682" t="inlineStr">
        <is>
          <t>HYLTE</t>
        </is>
      </c>
      <c r="I682" t="n">
        <v>26.3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4822-2024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45614</v>
      </c>
      <c r="E683" s="1" t="n">
        <v>46306</v>
      </c>
      <c r="F683" t="inlineStr">
        <is>
          <t>HALLANDS LÄN</t>
        </is>
      </c>
      <c r="G683" t="inlineStr">
        <is>
          <t>HYLTE</t>
        </is>
      </c>
      <c r="H683" t="inlineStr">
        <is>
          <t>Kyrkan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3794-2022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44743</v>
      </c>
      <c r="E684" s="1" t="n">
        <v>46306</v>
      </c>
      <c r="F684" t="inlineStr">
        <is>
          <t>HALLANDS LÄN</t>
        </is>
      </c>
      <c r="G684" t="inlineStr">
        <is>
          <t>HYLTE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872-2024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45375</v>
      </c>
      <c r="E685" s="1" t="n">
        <v>46306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8049-2021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44488</v>
      </c>
      <c r="E686" s="1" t="n">
        <v>46306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4663-2024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45604</v>
      </c>
      <c r="E687" s="1" t="n">
        <v>46306</v>
      </c>
      <c r="F687" t="inlineStr">
        <is>
          <t>HALLANDS LÄN</t>
        </is>
      </c>
      <c r="G687" t="inlineStr">
        <is>
          <t>HYLTE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643-2024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45356</v>
      </c>
      <c r="E688" s="1" t="n">
        <v>46306</v>
      </c>
      <c r="F688" t="inlineStr">
        <is>
          <t>HALLANDS LÄN</t>
        </is>
      </c>
      <c r="G688" t="inlineStr">
        <is>
          <t>HYLTE</t>
        </is>
      </c>
      <c r="I688" t="n">
        <v>35.7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559-2024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45349</v>
      </c>
      <c r="E689" s="1" t="n">
        <v>46306</v>
      </c>
      <c r="F689" t="inlineStr">
        <is>
          <t>HALLANDS LÄN</t>
        </is>
      </c>
      <c r="G689" t="inlineStr">
        <is>
          <t>HYLTE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1010-2025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46306</v>
      </c>
      <c r="F690" t="inlineStr">
        <is>
          <t>HALLANDS LÄN</t>
        </is>
      </c>
      <c r="G690" t="inlineStr">
        <is>
          <t>HYLTE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624-2025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45714</v>
      </c>
      <c r="E691" s="1" t="n">
        <v>46306</v>
      </c>
      <c r="F691" t="inlineStr">
        <is>
          <t>HALLANDS LÄN</t>
        </is>
      </c>
      <c r="G691" t="inlineStr">
        <is>
          <t>HYLTE</t>
        </is>
      </c>
      <c r="I691" t="n">
        <v>28.2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646-2025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46306</v>
      </c>
      <c r="F692" t="inlineStr">
        <is>
          <t>HALLANDS LÄN</t>
        </is>
      </c>
      <c r="G692" t="inlineStr">
        <is>
          <t>HYLTE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556-2025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45709</v>
      </c>
      <c r="E693" s="1" t="n">
        <v>46306</v>
      </c>
      <c r="F693" t="inlineStr">
        <is>
          <t>HALLANDS LÄN</t>
        </is>
      </c>
      <c r="G693" t="inlineStr">
        <is>
          <t>HYLTE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623-2025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45714</v>
      </c>
      <c r="E694" s="1" t="n">
        <v>46306</v>
      </c>
      <c r="F694" t="inlineStr">
        <is>
          <t>HALLANDS LÄN</t>
        </is>
      </c>
      <c r="G694" t="inlineStr">
        <is>
          <t>HYLTE</t>
        </is>
      </c>
      <c r="I694" t="n">
        <v>25.9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1772-2025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45813</v>
      </c>
      <c r="E695" s="1" t="n">
        <v>46306</v>
      </c>
      <c r="F695" t="inlineStr">
        <is>
          <t>HALLANDS LÄN</t>
        </is>
      </c>
      <c r="G695" t="inlineStr">
        <is>
          <t>HYLTE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46306</v>
      </c>
      <c r="F696" t="inlineStr">
        <is>
          <t>HALLANDS LÄN</t>
        </is>
      </c>
      <c r="G696" t="inlineStr">
        <is>
          <t>HYLTE</t>
        </is>
      </c>
      <c r="I696" t="n">
        <v>12.2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1783-2025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45813</v>
      </c>
      <c r="E697" s="1" t="n">
        <v>46306</v>
      </c>
      <c r="F697" t="inlineStr">
        <is>
          <t>HALLANDS LÄN</t>
        </is>
      </c>
      <c r="G697" t="inlineStr">
        <is>
          <t>HYLTE</t>
        </is>
      </c>
      <c r="I697" t="n">
        <v>10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1844-2025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45820</v>
      </c>
      <c r="E698" s="1" t="n">
        <v>46306</v>
      </c>
      <c r="F698" t="inlineStr">
        <is>
          <t>HALLANDS LÄN</t>
        </is>
      </c>
      <c r="G698" t="inlineStr">
        <is>
          <t>HYLTE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1925-2025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45827</v>
      </c>
      <c r="E699" s="1" t="n">
        <v>46306</v>
      </c>
      <c r="F699" t="inlineStr">
        <is>
          <t>HALLANDS LÄN</t>
        </is>
      </c>
      <c r="G699" t="inlineStr">
        <is>
          <t>HYLTE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2101-2025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45845</v>
      </c>
      <c r="E700" s="1" t="n">
        <v>46306</v>
      </c>
      <c r="F700" t="inlineStr">
        <is>
          <t>HALLANDS LÄN</t>
        </is>
      </c>
      <c r="G700" t="inlineStr">
        <is>
          <t>HYLTE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2312-2025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45883</v>
      </c>
      <c r="E701" s="1" t="n">
        <v>46306</v>
      </c>
      <c r="F701" t="inlineStr">
        <is>
          <t>HALLANDS LÄN</t>
        </is>
      </c>
      <c r="G701" t="inlineStr">
        <is>
          <t>HYLTE</t>
        </is>
      </c>
      <c r="I701" t="n">
        <v>55.7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2584-2025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45915</v>
      </c>
      <c r="E702" s="1" t="n">
        <v>46306</v>
      </c>
      <c r="F702" t="inlineStr">
        <is>
          <t>HALLANDS LÄN</t>
        </is>
      </c>
      <c r="G702" t="inlineStr">
        <is>
          <t>HYLTE</t>
        </is>
      </c>
      <c r="I702" t="n">
        <v>27.4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128-2026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46041</v>
      </c>
      <c r="E703" s="1" t="n">
        <v>46306</v>
      </c>
      <c r="F703" t="inlineStr">
        <is>
          <t>HALLANDS LÄN</t>
        </is>
      </c>
      <c r="G703" t="inlineStr">
        <is>
          <t>HYLTE</t>
        </is>
      </c>
      <c r="I703" t="n">
        <v>29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1110-2026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46133</v>
      </c>
      <c r="E704" s="1" t="n">
        <v>46306</v>
      </c>
      <c r="F704" t="inlineStr">
        <is>
          <t>HALLANDS LÄN</t>
        </is>
      </c>
      <c r="G704" t="inlineStr">
        <is>
          <t>HYLTE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1268-2026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46147</v>
      </c>
      <c r="E705" s="1" t="n">
        <v>46306</v>
      </c>
      <c r="F705" t="inlineStr">
        <is>
          <t>HALLANDS LÄN</t>
        </is>
      </c>
      <c r="G705" t="inlineStr">
        <is>
          <t>HYLTE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46306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46306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>
      <c r="A708" t="inlineStr">
        <is>
          <t>S 2182-2026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46253</v>
      </c>
      <c r="E708" s="1" t="n">
        <v>46306</v>
      </c>
      <c r="F708" t="inlineStr">
        <is>
          <t>HALLANDS LÄN</t>
        </is>
      </c>
      <c r="G708" t="inlineStr">
        <is>
          <t>HYLTE</t>
        </is>
      </c>
      <c r="I708" t="n">
        <v>43.1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2026-10-11T02:04:51Z</dcterms:created>
  <dcterms:modified xmlns:dcterms="http://purl.org/dc/terms/" xmlns:xsi="http://www.w3.org/2001/XMLSchema-instance" xsi:type="dcterms:W3CDTF">2026-10-11T02:04:52Z</dcterms:modified>
</cp:coreProperties>
</file>