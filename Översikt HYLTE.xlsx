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46259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46259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46259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46259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46259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46259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46259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46259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46259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46259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46259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46259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46259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46259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24939-2023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45085</v>
      </c>
      <c r="E25" s="1" t="n">
        <v>46259</v>
      </c>
      <c r="F25" t="inlineStr">
        <is>
          <t>HALLANDS LÄN</t>
        </is>
      </c>
      <c r="G25" t="inlineStr">
        <is>
          <t>HYLTE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Lappuggla</t>
        </is>
      </c>
      <c r="W25">
        <f>HYPERLINK("https://klasma.github.io/Logging_1315/artfynd/A 24939-2023 artfynd.xlsx", "A 24939-2023")</f>
        <v/>
      </c>
      <c r="X25">
        <f>HYPERLINK("https://klasma.github.io/Logging_1315/kartor/A 24939-2023 karta.png", "A 24939-2023")</f>
        <v/>
      </c>
      <c r="Y25">
        <f>HYPERLINK("https://klasma.github.io/Logging_1315/kartor_geotiff/A 24939-2023 georefererad karta.tif", "A 24939-2023")</f>
        <v/>
      </c>
      <c r="AA25">
        <f>HYPERLINK("https://klasma.github.io/Logging_1315/klagomål/A 24939-2023 FSC-klagomål.docx", "A 24939-2023")</f>
        <v/>
      </c>
      <c r="AB25">
        <f>HYPERLINK("https://klasma.github.io/Logging_1315/klagomålsmail/A 24939-2023 FSC-klagomål mail.docx", "A 24939-2023")</f>
        <v/>
      </c>
      <c r="AC25">
        <f>HYPERLINK("https://klasma.github.io/Logging_1315/tillsyn/A 24939-2023 tillsynsbegäran.docx", "A 24939-2023")</f>
        <v/>
      </c>
      <c r="AD25">
        <f>HYPERLINK("https://klasma.github.io/Logging_1315/tillsynsmail/A 24939-2023 tillsynsbegäran mail.docx", "A 24939-2023")</f>
        <v/>
      </c>
      <c r="AE25">
        <f>HYPERLINK("https://klasma.github.io/Logging_1315/fåglar/A 24939-2023 prioriterade fågelarter.docx", "A 24939-2023")</f>
        <v/>
      </c>
    </row>
    <row r="26" ht="15" customHeight="1">
      <c r="A26" t="inlineStr">
        <is>
          <t>A 36722-2023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46259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11.6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HYPERLINK("https://klasma.github.io/Logging_1315/artfynd/A 36722-2023 artfynd.xlsx", "A 36722-2023")</f>
        <v/>
      </c>
      <c r="X26">
        <f>HYPERLINK("https://klasma.github.io/Logging_1315/kartor/A 36722-2023 karta.png", "A 36722-2023")</f>
        <v/>
      </c>
      <c r="Y26">
        <f>HYPERLINK("https://klasma.github.io/Logging_1315/kartor_geotiff/A 36722-2023 georefererad karta.tif", "A 36722-2023")</f>
        <v/>
      </c>
      <c r="AA26">
        <f>HYPERLINK("https://klasma.github.io/Logging_1315/klagomål/A 36722-2023 FSC-klagomål.docx", "A 36722-2023")</f>
        <v/>
      </c>
      <c r="AB26">
        <f>HYPERLINK("https://klasma.github.io/Logging_1315/klagomålsmail/A 36722-2023 FSC-klagomål mail.docx", "A 36722-2023")</f>
        <v/>
      </c>
      <c r="AC26">
        <f>HYPERLINK("https://klasma.github.io/Logging_1315/tillsyn/A 36722-2023 tillsynsbegäran.docx", "A 36722-2023")</f>
        <v/>
      </c>
      <c r="AD26">
        <f>HYPERLINK("https://klasma.github.io/Logging_1315/tillsynsmail/A 36722-2023 tillsynsbegäran mail.docx", "A 36722-2023")</f>
        <v/>
      </c>
      <c r="AE26">
        <f>HYPERLINK("https://klasma.github.io/Logging_1315/fåglar/A 36722-2023 prioriterade fågelarter.docx", "A 36722-2023")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46259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46259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46259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46259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46259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46259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46259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46259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46259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46259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46259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46259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46259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46259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49390-2021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46259</v>
      </c>
      <c r="F42" t="inlineStr">
        <is>
          <t>HALLANDS LÄN</t>
        </is>
      </c>
      <c r="G42" t="inlineStr">
        <is>
          <t>HYLTE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46259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46259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46259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46259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46259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46259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46259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46259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46259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46259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46259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46259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46259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46259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46259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46259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46259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46259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46259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46259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46259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46259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46259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46259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46259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46259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46259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46259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46259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46259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44634</v>
      </c>
      <c r="E79" s="1" t="n">
        <v>46259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46259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46259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46259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46259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44728</v>
      </c>
      <c r="E84" s="1" t="n">
        <v>46259</v>
      </c>
      <c r="F84" t="inlineStr">
        <is>
          <t>HALLANDS LÄN</t>
        </is>
      </c>
      <c r="G84" t="inlineStr">
        <is>
          <t>HYLTE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44727</v>
      </c>
      <c r="E85" s="1" t="n">
        <v>46259</v>
      </c>
      <c r="F85" t="inlineStr">
        <is>
          <t>HALLANDS LÄN</t>
        </is>
      </c>
      <c r="G85" t="inlineStr">
        <is>
          <t>HYLTE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50152-2021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46259</v>
      </c>
      <c r="F86" t="inlineStr">
        <is>
          <t>HALLANDS LÄN</t>
        </is>
      </c>
      <c r="G86" t="inlineStr">
        <is>
          <t>HYLTE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46259</v>
      </c>
      <c r="F87" t="inlineStr">
        <is>
          <t>HALLANDS LÄN</t>
        </is>
      </c>
      <c r="G87" t="inlineStr">
        <is>
          <t>HYLTE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46259</v>
      </c>
      <c r="F88" t="inlineStr">
        <is>
          <t>HALLANDS LÄN</t>
        </is>
      </c>
      <c r="G88" t="inlineStr">
        <is>
          <t>HYLTE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46259</v>
      </c>
      <c r="F89" t="inlineStr">
        <is>
          <t>HALLANDS LÄN</t>
        </is>
      </c>
      <c r="G89" t="inlineStr">
        <is>
          <t>HYLTE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46259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46259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44659</v>
      </c>
      <c r="E92" s="1" t="n">
        <v>46259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46259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46259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45806</v>
      </c>
      <c r="E95" s="1" t="n">
        <v>46259</v>
      </c>
      <c r="F95" t="inlineStr">
        <is>
          <t>HALLANDS LÄN</t>
        </is>
      </c>
      <c r="G95" t="inlineStr">
        <is>
          <t>HYLTE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46259</v>
      </c>
      <c r="F96" t="inlineStr">
        <is>
          <t>HALLANDS LÄN</t>
        </is>
      </c>
      <c r="G96" t="inlineStr">
        <is>
          <t>HYLTE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46259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46259</v>
      </c>
      <c r="F98" t="inlineStr">
        <is>
          <t>HALLANDS LÄN</t>
        </is>
      </c>
      <c r="G98" t="inlineStr">
        <is>
          <t>HYLTE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45019</v>
      </c>
      <c r="E99" s="1" t="n">
        <v>46259</v>
      </c>
      <c r="F99" t="inlineStr">
        <is>
          <t>HALLANDS LÄN</t>
        </is>
      </c>
      <c r="G99" t="inlineStr">
        <is>
          <t>HYLTE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46259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46259</v>
      </c>
      <c r="F101" t="inlineStr">
        <is>
          <t>HALLANDS LÄN</t>
        </is>
      </c>
      <c r="G101" t="inlineStr">
        <is>
          <t>HYLTE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46259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45042</v>
      </c>
      <c r="E103" s="1" t="n">
        <v>46259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45327</v>
      </c>
      <c r="E104" s="1" t="n">
        <v>46259</v>
      </c>
      <c r="F104" t="inlineStr">
        <is>
          <t>HALLANDS LÄN</t>
        </is>
      </c>
      <c r="G104" t="inlineStr">
        <is>
          <t>HYLTE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45754</v>
      </c>
      <c r="E105" s="1" t="n">
        <v>46259</v>
      </c>
      <c r="F105" t="inlineStr">
        <is>
          <t>HALLANDS LÄN</t>
        </is>
      </c>
      <c r="G105" t="inlineStr">
        <is>
          <t>HYLTE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46259</v>
      </c>
      <c r="F106" t="inlineStr">
        <is>
          <t>HALLANDS LÄN</t>
        </is>
      </c>
      <c r="G106" t="inlineStr">
        <is>
          <t>HYLTE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46259</v>
      </c>
      <c r="F107" t="inlineStr">
        <is>
          <t>HALLANDS LÄN</t>
        </is>
      </c>
      <c r="G107" t="inlineStr">
        <is>
          <t>HYLTE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46259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46259</v>
      </c>
      <c r="F109" t="inlineStr">
        <is>
          <t>HALLANDS LÄN</t>
        </is>
      </c>
      <c r="G109" t="inlineStr">
        <is>
          <t>HYLTE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45387</v>
      </c>
      <c r="E110" s="1" t="n">
        <v>46259</v>
      </c>
      <c r="F110" t="inlineStr">
        <is>
          <t>HALLANDS LÄN</t>
        </is>
      </c>
      <c r="G110" t="inlineStr">
        <is>
          <t>HYLTE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46259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45091</v>
      </c>
      <c r="E112" s="1" t="n">
        <v>46259</v>
      </c>
      <c r="F112" t="inlineStr">
        <is>
          <t>HALLANDS LÄN</t>
        </is>
      </c>
      <c r="G112" t="inlineStr">
        <is>
          <t>HYLTE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46259</v>
      </c>
      <c r="F113" t="inlineStr">
        <is>
          <t>HALLANDS LÄN</t>
        </is>
      </c>
      <c r="G113" t="inlineStr">
        <is>
          <t>HYLTE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46259</v>
      </c>
      <c r="F114" t="inlineStr">
        <is>
          <t>HALLANDS LÄN</t>
        </is>
      </c>
      <c r="G114" t="inlineStr">
        <is>
          <t>HYLTE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35795-2022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44801</v>
      </c>
      <c r="E115" s="1" t="n">
        <v>46259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48734-2023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46259</v>
      </c>
      <c r="F116" t="inlineStr">
        <is>
          <t>HALLANDS LÄN</t>
        </is>
      </c>
      <c r="G116" t="inlineStr">
        <is>
          <t>HYLTE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44596</v>
      </c>
      <c r="E117" s="1" t="n">
        <v>46259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15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46259</v>
      </c>
      <c r="F118" t="inlineStr">
        <is>
          <t>HALLANDS LÄN</t>
        </is>
      </c>
      <c r="G118" t="inlineStr">
        <is>
          <t>HYLTE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46259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46259</v>
      </c>
      <c r="F120" t="inlineStr">
        <is>
          <t>HALLANDS LÄN</t>
        </is>
      </c>
      <c r="G120" t="inlineStr">
        <is>
          <t>HYLTE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46259</v>
      </c>
      <c r="F121" t="inlineStr">
        <is>
          <t>HALLANDS LÄN</t>
        </is>
      </c>
      <c r="G121" t="inlineStr">
        <is>
          <t>HYLTE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46259</v>
      </c>
      <c r="F122" t="inlineStr">
        <is>
          <t>HALLANDS LÄN</t>
        </is>
      </c>
      <c r="G122" t="inlineStr">
        <is>
          <t>HYLTE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44460</v>
      </c>
      <c r="E123" s="1" t="n">
        <v>46259</v>
      </c>
      <c r="F123" t="inlineStr">
        <is>
          <t>HALLANDS LÄN</t>
        </is>
      </c>
      <c r="G123" t="inlineStr">
        <is>
          <t>HYLTE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44460</v>
      </c>
      <c r="E124" s="1" t="n">
        <v>46259</v>
      </c>
      <c r="F124" t="inlineStr">
        <is>
          <t>HALLANDS LÄN</t>
        </is>
      </c>
      <c r="G124" t="inlineStr">
        <is>
          <t>HYLTE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46259</v>
      </c>
      <c r="F125" t="inlineStr">
        <is>
          <t>HALLANDS LÄN</t>
        </is>
      </c>
      <c r="G125" t="inlineStr">
        <is>
          <t>HYLTE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44866</v>
      </c>
      <c r="E126" s="1" t="n">
        <v>46259</v>
      </c>
      <c r="F126" t="inlineStr">
        <is>
          <t>HALLANDS LÄN</t>
        </is>
      </c>
      <c r="G126" t="inlineStr">
        <is>
          <t>HYLTE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46259</v>
      </c>
      <c r="F127" t="inlineStr">
        <is>
          <t>HALLANDS LÄN</t>
        </is>
      </c>
      <c r="G127" t="inlineStr">
        <is>
          <t>HYLTE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44869</v>
      </c>
      <c r="E128" s="1" t="n">
        <v>46259</v>
      </c>
      <c r="F128" t="inlineStr">
        <is>
          <t>HALLANDS LÄN</t>
        </is>
      </c>
      <c r="G128" t="inlineStr">
        <is>
          <t>HYLTE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45331</v>
      </c>
      <c r="E129" s="1" t="n">
        <v>46259</v>
      </c>
      <c r="F129" t="inlineStr">
        <is>
          <t>HALLANDS LÄN</t>
        </is>
      </c>
      <c r="G129" t="inlineStr">
        <is>
          <t>HYLTE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46259</v>
      </c>
      <c r="F130" t="inlineStr">
        <is>
          <t>HALLANDS LÄN</t>
        </is>
      </c>
      <c r="G130" t="inlineStr">
        <is>
          <t>HYLTE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46259</v>
      </c>
      <c r="F131" t="inlineStr">
        <is>
          <t>HALLANDS LÄN</t>
        </is>
      </c>
      <c r="G131" t="inlineStr">
        <is>
          <t>HYLTE</t>
        </is>
      </c>
      <c r="H131" t="inlineStr">
        <is>
          <t>Bergvik skog väst AB</t>
        </is>
      </c>
      <c r="I131" t="n">
        <v>10.7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46259</v>
      </c>
      <c r="F132" t="inlineStr">
        <is>
          <t>HALLANDS LÄN</t>
        </is>
      </c>
      <c r="G132" t="inlineStr">
        <is>
          <t>HYLTE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46259</v>
      </c>
      <c r="F133" t="inlineStr">
        <is>
          <t>HALLANDS LÄN</t>
        </is>
      </c>
      <c r="G133" t="inlineStr">
        <is>
          <t>HYLTE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28835-2023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45104</v>
      </c>
      <c r="E134" s="1" t="n">
        <v>46259</v>
      </c>
      <c r="F134" t="inlineStr">
        <is>
          <t>HALLANDS LÄN</t>
        </is>
      </c>
      <c r="G134" t="inlineStr">
        <is>
          <t>HYLTE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46259</v>
      </c>
      <c r="F135" t="inlineStr">
        <is>
          <t>HALLANDS LÄN</t>
        </is>
      </c>
      <c r="G135" t="inlineStr">
        <is>
          <t>HYLTE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46259</v>
      </c>
      <c r="F136" t="inlineStr">
        <is>
          <t>HALLANDS LÄN</t>
        </is>
      </c>
      <c r="G136" t="inlineStr">
        <is>
          <t>HYLTE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46259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46259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51943-2022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44872</v>
      </c>
      <c r="E139" s="1" t="n">
        <v>46259</v>
      </c>
      <c r="F139" t="inlineStr">
        <is>
          <t>HALLANDS LÄN</t>
        </is>
      </c>
      <c r="G139" t="inlineStr">
        <is>
          <t>HYLTE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46259</v>
      </c>
      <c r="F140" t="inlineStr">
        <is>
          <t>HALLANDS LÄN</t>
        </is>
      </c>
      <c r="G140" t="inlineStr">
        <is>
          <t>HYLTE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45441</v>
      </c>
      <c r="E141" s="1" t="n">
        <v>46259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46259</v>
      </c>
      <c r="F142" t="inlineStr">
        <is>
          <t>HALLANDS LÄN</t>
        </is>
      </c>
      <c r="G142" t="inlineStr">
        <is>
          <t>HYLTE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46259</v>
      </c>
      <c r="F143" t="inlineStr">
        <is>
          <t>HALLANDS LÄN</t>
        </is>
      </c>
      <c r="G143" t="inlineStr">
        <is>
          <t>HYLTE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46259</v>
      </c>
      <c r="F144" t="inlineStr">
        <is>
          <t>HALLANDS LÄN</t>
        </is>
      </c>
      <c r="G144" t="inlineStr">
        <is>
          <t>HYLTE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53192-2023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45229</v>
      </c>
      <c r="E145" s="1" t="n">
        <v>46259</v>
      </c>
      <c r="F145" t="inlineStr">
        <is>
          <t>HALLANDS LÄN</t>
        </is>
      </c>
      <c r="G145" t="inlineStr">
        <is>
          <t>HYLTE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46259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46259</v>
      </c>
      <c r="F147" t="inlineStr">
        <is>
          <t>HALLANDS LÄN</t>
        </is>
      </c>
      <c r="G147" t="inlineStr">
        <is>
          <t>HYLTE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45836</v>
      </c>
      <c r="E148" s="1" t="n">
        <v>46259</v>
      </c>
      <c r="F148" t="inlineStr">
        <is>
          <t>HALLANDS LÄN</t>
        </is>
      </c>
      <c r="G148" t="inlineStr">
        <is>
          <t>HYLTE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46259</v>
      </c>
      <c r="F149" t="inlineStr">
        <is>
          <t>HALLANDS LÄN</t>
        </is>
      </c>
      <c r="G149" t="inlineStr">
        <is>
          <t>HYLTE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46259</v>
      </c>
      <c r="F150" t="inlineStr">
        <is>
          <t>HALLANDS LÄN</t>
        </is>
      </c>
      <c r="G150" t="inlineStr">
        <is>
          <t>HYLTE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46259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46259</v>
      </c>
      <c r="F152" t="inlineStr">
        <is>
          <t>HALLANDS LÄN</t>
        </is>
      </c>
      <c r="G152" t="inlineStr">
        <is>
          <t>HYLTE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46259</v>
      </c>
      <c r="F153" t="inlineStr">
        <is>
          <t>HALLANDS LÄN</t>
        </is>
      </c>
      <c r="G153" t="inlineStr">
        <is>
          <t>HYLTE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33233-2025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45840</v>
      </c>
      <c r="E154" s="1" t="n">
        <v>46259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33207-2025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45840</v>
      </c>
      <c r="E155" s="1" t="n">
        <v>46259</v>
      </c>
      <c r="F155" t="inlineStr">
        <is>
          <t>HALLANDS LÄN</t>
        </is>
      </c>
      <c r="G155" t="inlineStr">
        <is>
          <t>HYLTE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45752</v>
      </c>
      <c r="E156" s="1" t="n">
        <v>46259</v>
      </c>
      <c r="F156" t="inlineStr">
        <is>
          <t>HALLANDS LÄN</t>
        </is>
      </c>
      <c r="G156" t="inlineStr">
        <is>
          <t>HYLTE</t>
        </is>
      </c>
      <c r="H156" t="inlineStr">
        <is>
          <t>Kyrkan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33240-2025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45840</v>
      </c>
      <c r="E157" s="1" t="n">
        <v>46259</v>
      </c>
      <c r="F157" t="inlineStr">
        <is>
          <t>HALLANDS LÄN</t>
        </is>
      </c>
      <c r="G157" t="inlineStr">
        <is>
          <t>HYLTE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46259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45382</v>
      </c>
      <c r="E159" s="1" t="n">
        <v>46259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46259</v>
      </c>
      <c r="F160" t="inlineStr">
        <is>
          <t>HALLANDS LÄN</t>
        </is>
      </c>
      <c r="G160" t="inlineStr">
        <is>
          <t>HYLTE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45061</v>
      </c>
      <c r="E161" s="1" t="n">
        <v>46259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46259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46259</v>
      </c>
      <c r="F163" t="inlineStr">
        <is>
          <t>HALLANDS LÄN</t>
        </is>
      </c>
      <c r="G163" t="inlineStr">
        <is>
          <t>HYLTE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45456</v>
      </c>
      <c r="E164" s="1" t="n">
        <v>46259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46259</v>
      </c>
      <c r="F165" t="inlineStr">
        <is>
          <t>HALLANDS LÄN</t>
        </is>
      </c>
      <c r="G165" t="inlineStr">
        <is>
          <t>HYLTE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46259</v>
      </c>
      <c r="F166" t="inlineStr">
        <is>
          <t>HALLANDS LÄN</t>
        </is>
      </c>
      <c r="G166" t="inlineStr">
        <is>
          <t>HYLTE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46259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46259</v>
      </c>
      <c r="F168" t="inlineStr">
        <is>
          <t>HALLANDS LÄN</t>
        </is>
      </c>
      <c r="G168" t="inlineStr">
        <is>
          <t>HYLTE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45846</v>
      </c>
      <c r="E169" s="1" t="n">
        <v>46259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46259</v>
      </c>
      <c r="F170" t="inlineStr">
        <is>
          <t>HALLANDS LÄN</t>
        </is>
      </c>
      <c r="G170" t="inlineStr">
        <is>
          <t>HYLTE</t>
        </is>
      </c>
      <c r="H170" t="inlineStr">
        <is>
          <t>Kyrkan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45846</v>
      </c>
      <c r="E171" s="1" t="n">
        <v>46259</v>
      </c>
      <c r="F171" t="inlineStr">
        <is>
          <t>HALLANDS LÄN</t>
        </is>
      </c>
      <c r="G171" t="inlineStr">
        <is>
          <t>HYLTE</t>
        </is>
      </c>
      <c r="H171" t="inlineStr">
        <is>
          <t>Kyrkan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46259</v>
      </c>
      <c r="F172" t="inlineStr">
        <is>
          <t>HALLANDS LÄN</t>
        </is>
      </c>
      <c r="G172" t="inlineStr">
        <is>
          <t>HYLTE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46259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46259</v>
      </c>
      <c r="F174" t="inlineStr">
        <is>
          <t>HALLANDS LÄN</t>
        </is>
      </c>
      <c r="G174" t="inlineStr">
        <is>
          <t>HYLTE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46259</v>
      </c>
      <c r="F175" t="inlineStr">
        <is>
          <t>HALLANDS LÄN</t>
        </is>
      </c>
      <c r="G175" t="inlineStr">
        <is>
          <t>HYLTE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45847</v>
      </c>
      <c r="E176" s="1" t="n">
        <v>46259</v>
      </c>
      <c r="F176" t="inlineStr">
        <is>
          <t>HALLANDS LÄN</t>
        </is>
      </c>
      <c r="G176" t="inlineStr">
        <is>
          <t>HYLTE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46259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46259</v>
      </c>
      <c r="F178" t="inlineStr">
        <is>
          <t>HALLANDS LÄN</t>
        </is>
      </c>
      <c r="G178" t="inlineStr">
        <is>
          <t>HYLTE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46259</v>
      </c>
      <c r="F179" t="inlineStr">
        <is>
          <t>HALLANDS LÄN</t>
        </is>
      </c>
      <c r="G179" t="inlineStr">
        <is>
          <t>HYLTE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46259</v>
      </c>
      <c r="F180" t="inlineStr">
        <is>
          <t>HALLANDS LÄN</t>
        </is>
      </c>
      <c r="G180" t="inlineStr">
        <is>
          <t>HYLTE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46259</v>
      </c>
      <c r="F181" t="inlineStr">
        <is>
          <t>HALLANDS LÄN</t>
        </is>
      </c>
      <c r="G181" t="inlineStr">
        <is>
          <t>HYLTE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46259</v>
      </c>
      <c r="F182" t="inlineStr">
        <is>
          <t>HALLANDS LÄN</t>
        </is>
      </c>
      <c r="G182" t="inlineStr">
        <is>
          <t>HYLTE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46259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45505</v>
      </c>
      <c r="E184" s="1" t="n">
        <v>46259</v>
      </c>
      <c r="F184" t="inlineStr">
        <is>
          <t>HALLANDS LÄN</t>
        </is>
      </c>
      <c r="G184" t="inlineStr">
        <is>
          <t>HYLTE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46259</v>
      </c>
      <c r="F185" t="inlineStr">
        <is>
          <t>HALLANDS LÄN</t>
        </is>
      </c>
      <c r="G185" t="inlineStr">
        <is>
          <t>HYLTE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44482</v>
      </c>
      <c r="E186" s="1" t="n">
        <v>46259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46259</v>
      </c>
      <c r="F187" t="inlineStr">
        <is>
          <t>HALLANDS LÄN</t>
        </is>
      </c>
      <c r="G187" t="inlineStr">
        <is>
          <t>HYLTE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46259</v>
      </c>
      <c r="F188" t="inlineStr">
        <is>
          <t>HALLANDS LÄN</t>
        </is>
      </c>
      <c r="G188" t="inlineStr">
        <is>
          <t>HYLTE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68969-2021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46259</v>
      </c>
      <c r="F189" t="inlineStr">
        <is>
          <t>HALLANDS LÄN</t>
        </is>
      </c>
      <c r="G189" t="inlineStr">
        <is>
          <t>HYLTE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46259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46259</v>
      </c>
      <c r="F191" t="inlineStr">
        <is>
          <t>HALLANDS LÄN</t>
        </is>
      </c>
      <c r="G191" t="inlineStr">
        <is>
          <t>HYLTE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46259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46259</v>
      </c>
      <c r="F193" t="inlineStr">
        <is>
          <t>HALLANDS LÄN</t>
        </is>
      </c>
      <c r="G193" t="inlineStr">
        <is>
          <t>HYLTE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46259</v>
      </c>
      <c r="F194" t="inlineStr">
        <is>
          <t>HALLANDS LÄN</t>
        </is>
      </c>
      <c r="G194" t="inlineStr">
        <is>
          <t>HYLTE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45478</v>
      </c>
      <c r="E195" s="1" t="n">
        <v>46259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46259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46259</v>
      </c>
      <c r="F197" t="inlineStr">
        <is>
          <t>HALLANDS LÄN</t>
        </is>
      </c>
      <c r="G197" t="inlineStr">
        <is>
          <t>HYLTE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46259</v>
      </c>
      <c r="F198" t="inlineStr">
        <is>
          <t>HALLANDS LÄN</t>
        </is>
      </c>
      <c r="G198" t="inlineStr">
        <is>
          <t>HYLTE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46259</v>
      </c>
      <c r="F199" t="inlineStr">
        <is>
          <t>HALLANDS LÄN</t>
        </is>
      </c>
      <c r="G199" t="inlineStr">
        <is>
          <t>HYLTE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46259</v>
      </c>
      <c r="F200" t="inlineStr">
        <is>
          <t>HALLANDS LÄN</t>
        </is>
      </c>
      <c r="G200" t="inlineStr">
        <is>
          <t>HYLTE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64221-2021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44510</v>
      </c>
      <c r="E201" s="1" t="n">
        <v>46259</v>
      </c>
      <c r="F201" t="inlineStr">
        <is>
          <t>HALLANDS LÄN</t>
        </is>
      </c>
      <c r="G201" t="inlineStr">
        <is>
          <t>HYLTE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45288</v>
      </c>
      <c r="E202" s="1" t="n">
        <v>46259</v>
      </c>
      <c r="F202" t="inlineStr">
        <is>
          <t>HALLANDS LÄN</t>
        </is>
      </c>
      <c r="G202" t="inlineStr">
        <is>
          <t>HYLTE</t>
        </is>
      </c>
      <c r="H202" t="inlineStr">
        <is>
          <t>Kommuner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46259</v>
      </c>
      <c r="F203" t="inlineStr">
        <is>
          <t>HALLANDS LÄN</t>
        </is>
      </c>
      <c r="G203" t="inlineStr">
        <is>
          <t>HYLTE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46259</v>
      </c>
      <c r="F204" t="inlineStr">
        <is>
          <t>HALLANDS LÄN</t>
        </is>
      </c>
      <c r="G204" t="inlineStr">
        <is>
          <t>HYLTE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46259</v>
      </c>
      <c r="F205" t="inlineStr">
        <is>
          <t>HALLANDS LÄN</t>
        </is>
      </c>
      <c r="G205" t="inlineStr">
        <is>
          <t>HYLTE</t>
        </is>
      </c>
      <c r="H205" t="inlineStr">
        <is>
          <t>Kyrkan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46259</v>
      </c>
      <c r="F206" t="inlineStr">
        <is>
          <t>HALLANDS LÄN</t>
        </is>
      </c>
      <c r="G206" t="inlineStr">
        <is>
          <t>HYLTE</t>
        </is>
      </c>
      <c r="H206" t="inlineStr">
        <is>
          <t>Kyrkan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45677</v>
      </c>
      <c r="E207" s="1" t="n">
        <v>46259</v>
      </c>
      <c r="F207" t="inlineStr">
        <is>
          <t>HALLANDS LÄN</t>
        </is>
      </c>
      <c r="G207" t="inlineStr">
        <is>
          <t>HYLTE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46259</v>
      </c>
      <c r="F208" t="inlineStr">
        <is>
          <t>HALLANDS LÄN</t>
        </is>
      </c>
      <c r="G208" t="inlineStr">
        <is>
          <t>HYLTE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45395</v>
      </c>
      <c r="E209" s="1" t="n">
        <v>46259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46259</v>
      </c>
      <c r="F210" t="inlineStr">
        <is>
          <t>HALLANDS LÄN</t>
        </is>
      </c>
      <c r="G210" t="inlineStr">
        <is>
          <t>HYLTE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44671</v>
      </c>
      <c r="E211" s="1" t="n">
        <v>46259</v>
      </c>
      <c r="F211" t="inlineStr">
        <is>
          <t>HALLANDS LÄN</t>
        </is>
      </c>
      <c r="G211" t="inlineStr">
        <is>
          <t>HYLTE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46259</v>
      </c>
      <c r="F212" t="inlineStr">
        <is>
          <t>HALLANDS LÄN</t>
        </is>
      </c>
      <c r="G212" t="inlineStr">
        <is>
          <t>HYLTE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63008-2023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46259</v>
      </c>
      <c r="F213" t="inlineStr">
        <is>
          <t>HALLANDS LÄN</t>
        </is>
      </c>
      <c r="G213" t="inlineStr">
        <is>
          <t>HYLTE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44483</v>
      </c>
      <c r="E214" s="1" t="n">
        <v>46259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46259</v>
      </c>
      <c r="F215" t="inlineStr">
        <is>
          <t>HALLANDS LÄN</t>
        </is>
      </c>
      <c r="G215" t="inlineStr">
        <is>
          <t>HYLTE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46259</v>
      </c>
      <c r="F216" t="inlineStr">
        <is>
          <t>HALLANDS LÄN</t>
        </is>
      </c>
      <c r="G216" t="inlineStr">
        <is>
          <t>HYLTE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45679</v>
      </c>
      <c r="E217" s="1" t="n">
        <v>46259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46259</v>
      </c>
      <c r="F218" t="inlineStr">
        <is>
          <t>HALLANDS LÄN</t>
        </is>
      </c>
      <c r="G218" t="inlineStr">
        <is>
          <t>HYLTE</t>
        </is>
      </c>
      <c r="H218" t="inlineStr">
        <is>
          <t>Bergvik skog väst AB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45610</v>
      </c>
      <c r="E219" s="1" t="n">
        <v>46259</v>
      </c>
      <c r="F219" t="inlineStr">
        <is>
          <t>HALLANDS LÄN</t>
        </is>
      </c>
      <c r="G219" t="inlineStr">
        <is>
          <t>HYLTE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45432</v>
      </c>
      <c r="E220" s="1" t="n">
        <v>46259</v>
      </c>
      <c r="F220" t="inlineStr">
        <is>
          <t>HALLANDS LÄN</t>
        </is>
      </c>
      <c r="G220" t="inlineStr">
        <is>
          <t>HYLTE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44712</v>
      </c>
      <c r="E221" s="1" t="n">
        <v>46259</v>
      </c>
      <c r="F221" t="inlineStr">
        <is>
          <t>HALLANDS LÄN</t>
        </is>
      </c>
      <c r="G221" t="inlineStr">
        <is>
          <t>HYLTE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45131</v>
      </c>
      <c r="E222" s="1" t="n">
        <v>46259</v>
      </c>
      <c r="F222" t="inlineStr">
        <is>
          <t>HALLANDS LÄN</t>
        </is>
      </c>
      <c r="G222" t="inlineStr">
        <is>
          <t>HYLTE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42582-2023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45176</v>
      </c>
      <c r="E223" s="1" t="n">
        <v>46259</v>
      </c>
      <c r="F223" t="inlineStr">
        <is>
          <t>HALLANDS LÄN</t>
        </is>
      </c>
      <c r="G223" t="inlineStr">
        <is>
          <t>HYLTE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46259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45361</v>
      </c>
      <c r="E225" s="1" t="n">
        <v>46259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46259</v>
      </c>
      <c r="F226" t="inlineStr">
        <is>
          <t>HALLANDS LÄN</t>
        </is>
      </c>
      <c r="G226" t="inlineStr">
        <is>
          <t>HYLTE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46259</v>
      </c>
      <c r="F227" t="inlineStr">
        <is>
          <t>HALLANDS LÄN</t>
        </is>
      </c>
      <c r="G227" t="inlineStr">
        <is>
          <t>HYLTE</t>
        </is>
      </c>
      <c r="H227" t="inlineStr">
        <is>
          <t>Kommuner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46259</v>
      </c>
      <c r="F228" t="inlineStr">
        <is>
          <t>HALLANDS LÄN</t>
        </is>
      </c>
      <c r="G228" t="inlineStr">
        <is>
          <t>HYLTE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46259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46259</v>
      </c>
      <c r="F230" t="inlineStr">
        <is>
          <t>HALLANDS LÄN</t>
        </is>
      </c>
      <c r="G230" t="inlineStr">
        <is>
          <t>HYLTE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46259</v>
      </c>
      <c r="F231" t="inlineStr">
        <is>
          <t>HALLANDS LÄN</t>
        </is>
      </c>
      <c r="G231" t="inlineStr">
        <is>
          <t>HYLTE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46259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46259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46259</v>
      </c>
      <c r="F234" t="inlineStr">
        <is>
          <t>HALLANDS LÄN</t>
        </is>
      </c>
      <c r="G234" t="inlineStr">
        <is>
          <t>HYLTE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46259</v>
      </c>
      <c r="F235" t="inlineStr">
        <is>
          <t>HALLANDS LÄN</t>
        </is>
      </c>
      <c r="G235" t="inlineStr">
        <is>
          <t>HYLTE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46259</v>
      </c>
      <c r="F236" t="inlineStr">
        <is>
          <t>HALLANDS LÄN</t>
        </is>
      </c>
      <c r="G236" t="inlineStr">
        <is>
          <t>HYLTE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46259</v>
      </c>
      <c r="F237" t="inlineStr">
        <is>
          <t>HALLANDS LÄN</t>
        </is>
      </c>
      <c r="G237" t="inlineStr">
        <is>
          <t>HYLTE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46259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46259</v>
      </c>
      <c r="F239" t="inlineStr">
        <is>
          <t>HALLANDS LÄN</t>
        </is>
      </c>
      <c r="G239" t="inlineStr">
        <is>
          <t>HYLTE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46259</v>
      </c>
      <c r="F240" t="inlineStr">
        <is>
          <t>HALLANDS LÄN</t>
        </is>
      </c>
      <c r="G240" t="inlineStr">
        <is>
          <t>HYLTE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46259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45199</v>
      </c>
      <c r="E242" s="1" t="n">
        <v>46259</v>
      </c>
      <c r="F242" t="inlineStr">
        <is>
          <t>HALLANDS LÄN</t>
        </is>
      </c>
      <c r="G242" t="inlineStr">
        <is>
          <t>HYLTE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46259</v>
      </c>
      <c r="F243" t="inlineStr">
        <is>
          <t>HALLANDS LÄN</t>
        </is>
      </c>
      <c r="G243" t="inlineStr">
        <is>
          <t>HYLTE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46259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46259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45395</v>
      </c>
      <c r="E246" s="1" t="n">
        <v>46259</v>
      </c>
      <c r="F246" t="inlineStr">
        <is>
          <t>HALLANDS LÄN</t>
        </is>
      </c>
      <c r="G246" t="inlineStr">
        <is>
          <t>HYLTE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46259</v>
      </c>
      <c r="F247" t="inlineStr">
        <is>
          <t>HALLANDS LÄN</t>
        </is>
      </c>
      <c r="G247" t="inlineStr">
        <is>
          <t>HYLTE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46259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46259</v>
      </c>
      <c r="F249" t="inlineStr">
        <is>
          <t>HALLANDS LÄN</t>
        </is>
      </c>
      <c r="G249" t="inlineStr">
        <is>
          <t>HYLTE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44701</v>
      </c>
      <c r="E250" s="1" t="n">
        <v>46259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46259</v>
      </c>
      <c r="F251" t="inlineStr">
        <is>
          <t>HALLANDS LÄN</t>
        </is>
      </c>
      <c r="G251" t="inlineStr">
        <is>
          <t>HYLTE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46259</v>
      </c>
      <c r="F252" t="inlineStr">
        <is>
          <t>HALLANDS LÄN</t>
        </is>
      </c>
      <c r="G252" t="inlineStr">
        <is>
          <t>HYLTE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46259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46259</v>
      </c>
      <c r="F254" t="inlineStr">
        <is>
          <t>HALLANDS LÄN</t>
        </is>
      </c>
      <c r="G254" t="inlineStr">
        <is>
          <t>HYLTE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46259</v>
      </c>
      <c r="F255" t="inlineStr">
        <is>
          <t>HALLANDS LÄN</t>
        </is>
      </c>
      <c r="G255" t="inlineStr">
        <is>
          <t>HYLTE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45672</v>
      </c>
      <c r="E256" s="1" t="n">
        <v>46259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44483</v>
      </c>
      <c r="E257" s="1" t="n">
        <v>46259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55792-2021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44476</v>
      </c>
      <c r="E258" s="1" t="n">
        <v>46259</v>
      </c>
      <c r="F258" t="inlineStr">
        <is>
          <t>HALLANDS LÄN</t>
        </is>
      </c>
      <c r="G258" t="inlineStr">
        <is>
          <t>HYLTE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46259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46259</v>
      </c>
      <c r="F260" t="inlineStr">
        <is>
          <t>HALLANDS LÄN</t>
        </is>
      </c>
      <c r="G260" t="inlineStr">
        <is>
          <t>HYLTE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26602-2022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46259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46259</v>
      </c>
      <c r="F262" t="inlineStr">
        <is>
          <t>HALLANDS LÄN</t>
        </is>
      </c>
      <c r="G262" t="inlineStr">
        <is>
          <t>HYLTE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46259</v>
      </c>
      <c r="F263" t="inlineStr">
        <is>
          <t>HALLANDS LÄN</t>
        </is>
      </c>
      <c r="G263" t="inlineStr">
        <is>
          <t>HYLTE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46259</v>
      </c>
      <c r="F264" t="inlineStr">
        <is>
          <t>HALLANDS LÄN</t>
        </is>
      </c>
      <c r="G264" t="inlineStr">
        <is>
          <t>HYLTE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46259</v>
      </c>
      <c r="F265" t="inlineStr">
        <is>
          <t>HALLANDS LÄN</t>
        </is>
      </c>
      <c r="G265" t="inlineStr">
        <is>
          <t>HYLTE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46259</v>
      </c>
      <c r="F266" t="inlineStr">
        <is>
          <t>HALLANDS LÄN</t>
        </is>
      </c>
      <c r="G266" t="inlineStr">
        <is>
          <t>HYLTE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46259</v>
      </c>
      <c r="F267" t="inlineStr">
        <is>
          <t>HALLANDS LÄN</t>
        </is>
      </c>
      <c r="G267" t="inlineStr">
        <is>
          <t>HYLTE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46259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46259</v>
      </c>
      <c r="F269" t="inlineStr">
        <is>
          <t>HALLANDS LÄN</t>
        </is>
      </c>
      <c r="G269" t="inlineStr">
        <is>
          <t>HYLTE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46259</v>
      </c>
      <c r="F270" t="inlineStr">
        <is>
          <t>HALLANDS LÄN</t>
        </is>
      </c>
      <c r="G270" t="inlineStr">
        <is>
          <t>HYLTE</t>
        </is>
      </c>
      <c r="I270" t="n">
        <v>13.3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45545</v>
      </c>
      <c r="E271" s="1" t="n">
        <v>46259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45199</v>
      </c>
      <c r="E272" s="1" t="n">
        <v>46259</v>
      </c>
      <c r="F272" t="inlineStr">
        <is>
          <t>HALLANDS LÄN</t>
        </is>
      </c>
      <c r="G272" t="inlineStr">
        <is>
          <t>HYLTE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46259</v>
      </c>
      <c r="F273" t="inlineStr">
        <is>
          <t>HALLANDS LÄN</t>
        </is>
      </c>
      <c r="G273" t="inlineStr">
        <is>
          <t>HYLTE</t>
        </is>
      </c>
      <c r="H273" t="inlineStr">
        <is>
          <t>Bergvik skog väst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46259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46259</v>
      </c>
      <c r="F275" t="inlineStr">
        <is>
          <t>HALLANDS LÄN</t>
        </is>
      </c>
      <c r="G275" t="inlineStr">
        <is>
          <t>HYLTE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45876</v>
      </c>
      <c r="E276" s="1" t="n">
        <v>46259</v>
      </c>
      <c r="F276" t="inlineStr">
        <is>
          <t>HALLANDS LÄN</t>
        </is>
      </c>
      <c r="G276" t="inlineStr">
        <is>
          <t>HYLTE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46259</v>
      </c>
      <c r="F277" t="inlineStr">
        <is>
          <t>HALLANDS LÄN</t>
        </is>
      </c>
      <c r="G277" t="inlineStr">
        <is>
          <t>HYLTE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45880</v>
      </c>
      <c r="E278" s="1" t="n">
        <v>46259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46259</v>
      </c>
      <c r="F279" t="inlineStr">
        <is>
          <t>HALLANDS LÄN</t>
        </is>
      </c>
      <c r="G279" t="inlineStr">
        <is>
          <t>HYLTE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45877</v>
      </c>
      <c r="E280" s="1" t="n">
        <v>46259</v>
      </c>
      <c r="F280" t="inlineStr">
        <is>
          <t>HALLANDS LÄN</t>
        </is>
      </c>
      <c r="G280" t="inlineStr">
        <is>
          <t>HYLTE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46259</v>
      </c>
      <c r="F281" t="inlineStr">
        <is>
          <t>HALLANDS LÄN</t>
        </is>
      </c>
      <c r="G281" t="inlineStr">
        <is>
          <t>HYLTE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46259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46259</v>
      </c>
      <c r="F283" t="inlineStr">
        <is>
          <t>HALLANDS LÄN</t>
        </is>
      </c>
      <c r="G283" t="inlineStr">
        <is>
          <t>HYLTE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44865</v>
      </c>
      <c r="E284" s="1" t="n">
        <v>46259</v>
      </c>
      <c r="F284" t="inlineStr">
        <is>
          <t>HALLANDS LÄN</t>
        </is>
      </c>
      <c r="G284" t="inlineStr">
        <is>
          <t>HYLTE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46259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45182</v>
      </c>
      <c r="E286" s="1" t="n">
        <v>46259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45352</v>
      </c>
      <c r="E287" s="1" t="n">
        <v>46259</v>
      </c>
      <c r="F287" t="inlineStr">
        <is>
          <t>HALLANDS LÄN</t>
        </is>
      </c>
      <c r="G287" t="inlineStr">
        <is>
          <t>HYLTE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56422-2021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44477</v>
      </c>
      <c r="E288" s="1" t="n">
        <v>46259</v>
      </c>
      <c r="F288" t="inlineStr">
        <is>
          <t>HALLANDS LÄN</t>
        </is>
      </c>
      <c r="G288" t="inlineStr">
        <is>
          <t>HYLTE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45414</v>
      </c>
      <c r="E289" s="1" t="n">
        <v>46259</v>
      </c>
      <c r="F289" t="inlineStr">
        <is>
          <t>HALLANDS LÄN</t>
        </is>
      </c>
      <c r="G289" t="inlineStr">
        <is>
          <t>HYLTE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53584-2021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46259</v>
      </c>
      <c r="F290" t="inlineStr">
        <is>
          <t>HALLANDS LÄN</t>
        </is>
      </c>
      <c r="G290" t="inlineStr">
        <is>
          <t>HYLTE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44834</v>
      </c>
      <c r="E291" s="1" t="n">
        <v>46259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46259</v>
      </c>
      <c r="F292" t="inlineStr">
        <is>
          <t>HALLANDS LÄN</t>
        </is>
      </c>
      <c r="G292" t="inlineStr">
        <is>
          <t>HYLTE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40976-2025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46259</v>
      </c>
      <c r="F293" t="inlineStr">
        <is>
          <t>HALLANDS LÄN</t>
        </is>
      </c>
      <c r="G293" t="inlineStr">
        <is>
          <t>HYLTE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46259</v>
      </c>
      <c r="F294" t="inlineStr">
        <is>
          <t>HALLANDS LÄN</t>
        </is>
      </c>
      <c r="G294" t="inlineStr">
        <is>
          <t>HYLTE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31265-2023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45114</v>
      </c>
      <c r="E295" s="1" t="n">
        <v>46259</v>
      </c>
      <c r="F295" t="inlineStr">
        <is>
          <t>HALLANDS LÄN</t>
        </is>
      </c>
      <c r="G295" t="inlineStr">
        <is>
          <t>HYLTE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45839</v>
      </c>
      <c r="E296" s="1" t="n">
        <v>46259</v>
      </c>
      <c r="F296" t="inlineStr">
        <is>
          <t>HALLANDS LÄN</t>
        </is>
      </c>
      <c r="G296" t="inlineStr">
        <is>
          <t>HYLTE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46259</v>
      </c>
      <c r="F297" t="inlineStr">
        <is>
          <t>HALLANDS LÄN</t>
        </is>
      </c>
      <c r="G297" t="inlineStr">
        <is>
          <t>HYLTE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46259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46259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46259</v>
      </c>
      <c r="F300" t="inlineStr">
        <is>
          <t>HALLANDS LÄN</t>
        </is>
      </c>
      <c r="G300" t="inlineStr">
        <is>
          <t>HYLTE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46259</v>
      </c>
      <c r="F301" t="inlineStr">
        <is>
          <t>HALLANDS LÄN</t>
        </is>
      </c>
      <c r="G301" t="inlineStr">
        <is>
          <t>HYLTE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46259</v>
      </c>
      <c r="F302" t="inlineStr">
        <is>
          <t>HALLANDS LÄN</t>
        </is>
      </c>
      <c r="G302" t="inlineStr">
        <is>
          <t>HYLTE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58841-2021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44489</v>
      </c>
      <c r="E303" s="1" t="n">
        <v>46259</v>
      </c>
      <c r="F303" t="inlineStr">
        <is>
          <t>HALLANDS LÄN</t>
        </is>
      </c>
      <c r="G303" t="inlineStr">
        <is>
          <t>HYLTE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46259</v>
      </c>
      <c r="F304" t="inlineStr">
        <is>
          <t>HALLANDS LÄN</t>
        </is>
      </c>
      <c r="G304" t="inlineStr">
        <is>
          <t>HYLTE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45538</v>
      </c>
      <c r="E305" s="1" t="n">
        <v>46259</v>
      </c>
      <c r="F305" t="inlineStr">
        <is>
          <t>HALLANDS LÄN</t>
        </is>
      </c>
      <c r="G305" t="inlineStr">
        <is>
          <t>HYLTE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46259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46259</v>
      </c>
      <c r="F307" t="inlineStr">
        <is>
          <t>HALLANDS LÄN</t>
        </is>
      </c>
      <c r="G307" t="inlineStr">
        <is>
          <t>HYLTE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40725-2023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46259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46259</v>
      </c>
      <c r="F309" t="inlineStr">
        <is>
          <t>HALLANDS LÄN</t>
        </is>
      </c>
      <c r="G309" t="inlineStr">
        <is>
          <t>HYLTE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43244-2025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46259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46259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46259</v>
      </c>
      <c r="F312" t="inlineStr">
        <is>
          <t>HALLANDS LÄN</t>
        </is>
      </c>
      <c r="G312" t="inlineStr">
        <is>
          <t>HYLTE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46259</v>
      </c>
      <c r="F313" t="inlineStr">
        <is>
          <t>HALLANDS LÄN</t>
        </is>
      </c>
      <c r="G313" t="inlineStr">
        <is>
          <t>HYLTE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45558</v>
      </c>
      <c r="E314" s="1" t="n">
        <v>46259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46259</v>
      </c>
      <c r="F315" t="inlineStr">
        <is>
          <t>HALLANDS LÄN</t>
        </is>
      </c>
      <c r="G315" t="inlineStr">
        <is>
          <t>HYLTE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46259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45091</v>
      </c>
      <c r="E317" s="1" t="n">
        <v>46259</v>
      </c>
      <c r="F317" t="inlineStr">
        <is>
          <t>HALLANDS LÄN</t>
        </is>
      </c>
      <c r="G317" t="inlineStr">
        <is>
          <t>HYLTE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46259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46259</v>
      </c>
      <c r="F319" t="inlineStr">
        <is>
          <t>HALLANDS LÄN</t>
        </is>
      </c>
      <c r="G319" t="inlineStr">
        <is>
          <t>HYLTE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46259</v>
      </c>
      <c r="F320" t="inlineStr">
        <is>
          <t>HALLANDS LÄN</t>
        </is>
      </c>
      <c r="G320" t="inlineStr">
        <is>
          <t>HYLTE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49916-2024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45597</v>
      </c>
      <c r="E321" s="1" t="n">
        <v>46259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44641</v>
      </c>
      <c r="E322" s="1" t="n">
        <v>46259</v>
      </c>
      <c r="F322" t="inlineStr">
        <is>
          <t>HALLANDS LÄN</t>
        </is>
      </c>
      <c r="G322" t="inlineStr">
        <is>
          <t>HYLTE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23037-2022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44719</v>
      </c>
      <c r="E323" s="1" t="n">
        <v>46259</v>
      </c>
      <c r="F323" t="inlineStr">
        <is>
          <t>HALLANDS LÄN</t>
        </is>
      </c>
      <c r="G323" t="inlineStr">
        <is>
          <t>HYLTE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46259</v>
      </c>
      <c r="F324" t="inlineStr">
        <is>
          <t>HALLANDS LÄN</t>
        </is>
      </c>
      <c r="G324" t="inlineStr">
        <is>
          <t>HYLTE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46259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45432</v>
      </c>
      <c r="E326" s="1" t="n">
        <v>46259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46259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46259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17714-2026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46259</v>
      </c>
      <c r="F329" t="inlineStr">
        <is>
          <t>HALLANDS LÄN</t>
        </is>
      </c>
      <c r="G329" t="inlineStr">
        <is>
          <t>HYLTE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46259</v>
      </c>
      <c r="F330" t="inlineStr">
        <is>
          <t>HALLANDS LÄN</t>
        </is>
      </c>
      <c r="G330" t="inlineStr">
        <is>
          <t>HYLTE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46259</v>
      </c>
      <c r="F331" t="inlineStr">
        <is>
          <t>HALLANDS LÄN</t>
        </is>
      </c>
      <c r="G331" t="inlineStr">
        <is>
          <t>HYLTE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46259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46259</v>
      </c>
      <c r="F333" t="inlineStr">
        <is>
          <t>HALLANDS LÄN</t>
        </is>
      </c>
      <c r="G333" t="inlineStr">
        <is>
          <t>HYLTE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46259</v>
      </c>
      <c r="F334" t="inlineStr">
        <is>
          <t>HALLANDS LÄN</t>
        </is>
      </c>
      <c r="G334" t="inlineStr">
        <is>
          <t>HYLTE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46259</v>
      </c>
      <c r="F335" t="inlineStr">
        <is>
          <t>HALLANDS LÄN</t>
        </is>
      </c>
      <c r="G335" t="inlineStr">
        <is>
          <t>HYLTE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46259</v>
      </c>
      <c r="F336" t="inlineStr">
        <is>
          <t>HALLANDS LÄN</t>
        </is>
      </c>
      <c r="G336" t="inlineStr">
        <is>
          <t>HYLTE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46259</v>
      </c>
      <c r="F337" t="inlineStr">
        <is>
          <t>HALLANDS LÄN</t>
        </is>
      </c>
      <c r="G337" t="inlineStr">
        <is>
          <t>HYLTE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46259</v>
      </c>
      <c r="F338" t="inlineStr">
        <is>
          <t>HALLANDS LÄN</t>
        </is>
      </c>
      <c r="G338" t="inlineStr">
        <is>
          <t>HYLTE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46259</v>
      </c>
      <c r="F339" t="inlineStr">
        <is>
          <t>HALLANDS LÄN</t>
        </is>
      </c>
      <c r="G339" t="inlineStr">
        <is>
          <t>HYLTE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46259</v>
      </c>
      <c r="F340" t="inlineStr">
        <is>
          <t>HALLANDS LÄN</t>
        </is>
      </c>
      <c r="G340" t="inlineStr">
        <is>
          <t>HYLTE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44701</v>
      </c>
      <c r="E341" s="1" t="n">
        <v>46259</v>
      </c>
      <c r="F341" t="inlineStr">
        <is>
          <t>HALLANDS LÄN</t>
        </is>
      </c>
      <c r="G341" t="inlineStr">
        <is>
          <t>HYLTE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45259</v>
      </c>
      <c r="E342" s="1" t="n">
        <v>46259</v>
      </c>
      <c r="F342" t="inlineStr">
        <is>
          <t>HALLANDS LÄN</t>
        </is>
      </c>
      <c r="G342" t="inlineStr">
        <is>
          <t>HYLTE</t>
        </is>
      </c>
      <c r="I342" t="n">
        <v>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44714</v>
      </c>
      <c r="E343" s="1" t="n">
        <v>46259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45918</v>
      </c>
      <c r="E344" s="1" t="n">
        <v>46259</v>
      </c>
      <c r="F344" t="inlineStr">
        <is>
          <t>HALLANDS LÄN</t>
        </is>
      </c>
      <c r="G344" t="inlineStr">
        <is>
          <t>HYLTE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46259</v>
      </c>
      <c r="F345" t="inlineStr">
        <is>
          <t>HALLANDS LÄN</t>
        </is>
      </c>
      <c r="G345" t="inlineStr">
        <is>
          <t>HYLTE</t>
        </is>
      </c>
      <c r="H345" t="inlineStr">
        <is>
          <t>Kyrkan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44697</v>
      </c>
      <c r="E346" s="1" t="n">
        <v>46259</v>
      </c>
      <c r="F346" t="inlineStr">
        <is>
          <t>HALLANDS LÄN</t>
        </is>
      </c>
      <c r="G346" t="inlineStr">
        <is>
          <t>HYLTE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45194</v>
      </c>
      <c r="E347" s="1" t="n">
        <v>46259</v>
      </c>
      <c r="F347" t="inlineStr">
        <is>
          <t>HALLANDS LÄN</t>
        </is>
      </c>
      <c r="G347" t="inlineStr">
        <is>
          <t>HYLTE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44974</v>
      </c>
      <c r="E348" s="1" t="n">
        <v>46259</v>
      </c>
      <c r="F348" t="inlineStr">
        <is>
          <t>HALLANDS LÄN</t>
        </is>
      </c>
      <c r="G348" t="inlineStr">
        <is>
          <t>HYLTE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18699-2026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46259</v>
      </c>
      <c r="F349" t="inlineStr">
        <is>
          <t>HALLANDS LÄN</t>
        </is>
      </c>
      <c r="G349" t="inlineStr">
        <is>
          <t>HYLTE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46259</v>
      </c>
      <c r="F350" t="inlineStr">
        <is>
          <t>HALLANDS LÄN</t>
        </is>
      </c>
      <c r="G350" t="inlineStr">
        <is>
          <t>HYLTE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45229</v>
      </c>
      <c r="E351" s="1" t="n">
        <v>46259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46692-2023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45198</v>
      </c>
      <c r="E352" s="1" t="n">
        <v>46259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56806-2021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44481</v>
      </c>
      <c r="E353" s="1" t="n">
        <v>46259</v>
      </c>
      <c r="F353" t="inlineStr">
        <is>
          <t>HALLANDS LÄN</t>
        </is>
      </c>
      <c r="G353" t="inlineStr">
        <is>
          <t>HYLTE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46259</v>
      </c>
      <c r="F354" t="inlineStr">
        <is>
          <t>HALLANDS LÄN</t>
        </is>
      </c>
      <c r="G354" t="inlineStr">
        <is>
          <t>HYLTE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59494-2022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46259</v>
      </c>
      <c r="F355" t="inlineStr">
        <is>
          <t>HALLANDS LÄN</t>
        </is>
      </c>
      <c r="G355" t="inlineStr">
        <is>
          <t>HYLTE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46259</v>
      </c>
      <c r="F356" t="inlineStr">
        <is>
          <t>HALLANDS LÄN</t>
        </is>
      </c>
      <c r="G356" t="inlineStr">
        <is>
          <t>HYLTE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46259</v>
      </c>
      <c r="F357" t="inlineStr">
        <is>
          <t>HALLANDS LÄN</t>
        </is>
      </c>
      <c r="G357" t="inlineStr">
        <is>
          <t>HYLTE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45441</v>
      </c>
      <c r="E358" s="1" t="n">
        <v>46259</v>
      </c>
      <c r="F358" t="inlineStr">
        <is>
          <t>HALLANDS LÄN</t>
        </is>
      </c>
      <c r="G358" t="inlineStr">
        <is>
          <t>HYLTE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62757-2022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44926</v>
      </c>
      <c r="E359" s="1" t="n">
        <v>46259</v>
      </c>
      <c r="F359" t="inlineStr">
        <is>
          <t>HALLANDS LÄN</t>
        </is>
      </c>
      <c r="G359" t="inlineStr">
        <is>
          <t>HYLTE</t>
        </is>
      </c>
      <c r="H359" t="inlineStr">
        <is>
          <t>Kyrkan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46259</v>
      </c>
      <c r="F360" t="inlineStr">
        <is>
          <t>HALLANDS LÄN</t>
        </is>
      </c>
      <c r="G360" t="inlineStr">
        <is>
          <t>HYLTE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46259</v>
      </c>
      <c r="F361" t="inlineStr">
        <is>
          <t>HALLANDS LÄN</t>
        </is>
      </c>
      <c r="G361" t="inlineStr">
        <is>
          <t>HYLTE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45677</v>
      </c>
      <c r="E362" s="1" t="n">
        <v>46259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45162</v>
      </c>
      <c r="E363" s="1" t="n">
        <v>46259</v>
      </c>
      <c r="F363" t="inlineStr">
        <is>
          <t>HALLANDS LÄN</t>
        </is>
      </c>
      <c r="G363" t="inlineStr">
        <is>
          <t>HYLTE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46259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45268</v>
      </c>
      <c r="E365" s="1" t="n">
        <v>46259</v>
      </c>
      <c r="F365" t="inlineStr">
        <is>
          <t>HALLANDS LÄN</t>
        </is>
      </c>
      <c r="G365" t="inlineStr">
        <is>
          <t>HYLTE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58817-2022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44903</v>
      </c>
      <c r="E366" s="1" t="n">
        <v>46259</v>
      </c>
      <c r="F366" t="inlineStr">
        <is>
          <t>HALLANDS LÄN</t>
        </is>
      </c>
      <c r="G366" t="inlineStr">
        <is>
          <t>HYLTE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46259</v>
      </c>
      <c r="F367" t="inlineStr">
        <is>
          <t>HALLANDS LÄN</t>
        </is>
      </c>
      <c r="G367" t="inlineStr">
        <is>
          <t>HYLTE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44999</v>
      </c>
      <c r="E368" s="1" t="n">
        <v>46259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45173</v>
      </c>
      <c r="E369" s="1" t="n">
        <v>46259</v>
      </c>
      <c r="F369" t="inlineStr">
        <is>
          <t>HALLANDS LÄN</t>
        </is>
      </c>
      <c r="G369" t="inlineStr">
        <is>
          <t>HYLTE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46259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46259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46259</v>
      </c>
      <c r="F372" t="inlineStr">
        <is>
          <t>HALLANDS LÄN</t>
        </is>
      </c>
      <c r="G372" t="inlineStr">
        <is>
          <t>HYLTE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46259</v>
      </c>
      <c r="F373" t="inlineStr">
        <is>
          <t>HALLANDS LÄN</t>
        </is>
      </c>
      <c r="G373" t="inlineStr">
        <is>
          <t>HYLTE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45254</v>
      </c>
      <c r="E374" s="1" t="n">
        <v>46259</v>
      </c>
      <c r="F374" t="inlineStr">
        <is>
          <t>HALLANDS LÄN</t>
        </is>
      </c>
      <c r="G374" t="inlineStr">
        <is>
          <t>HYLTE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46259</v>
      </c>
      <c r="F375" t="inlineStr">
        <is>
          <t>HALLANDS LÄN</t>
        </is>
      </c>
      <c r="G375" t="inlineStr">
        <is>
          <t>HYLTE</t>
        </is>
      </c>
      <c r="H375" t="inlineStr">
        <is>
          <t>Bergvik skog väst AB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46259</v>
      </c>
      <c r="F376" t="inlineStr">
        <is>
          <t>HALLANDS LÄN</t>
        </is>
      </c>
      <c r="G376" t="inlineStr">
        <is>
          <t>HYLTE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46259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46259</v>
      </c>
      <c r="F378" t="inlineStr">
        <is>
          <t>HALLANDS LÄN</t>
        </is>
      </c>
      <c r="G378" t="inlineStr">
        <is>
          <t>HYLTE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46259</v>
      </c>
      <c r="F379" t="inlineStr">
        <is>
          <t>HALLANDS LÄN</t>
        </is>
      </c>
      <c r="G379" t="inlineStr">
        <is>
          <t>HYLTE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43399-2024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46259</v>
      </c>
      <c r="F380" t="inlineStr">
        <is>
          <t>HALLANDS LÄN</t>
        </is>
      </c>
      <c r="G380" t="inlineStr">
        <is>
          <t>HYLTE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46259</v>
      </c>
      <c r="F381" t="inlineStr">
        <is>
          <t>HALLANDS LÄN</t>
        </is>
      </c>
      <c r="G381" t="inlineStr">
        <is>
          <t>HYLTE</t>
        </is>
      </c>
      <c r="H381" t="inlineStr">
        <is>
          <t>Kyrkan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45456</v>
      </c>
      <c r="E382" s="1" t="n">
        <v>46259</v>
      </c>
      <c r="F382" t="inlineStr">
        <is>
          <t>HALLANDS LÄN</t>
        </is>
      </c>
      <c r="G382" t="inlineStr">
        <is>
          <t>HYLTE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20523-2025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46259</v>
      </c>
      <c r="F383" t="inlineStr">
        <is>
          <t>HALLANDS LÄN</t>
        </is>
      </c>
      <c r="G383" t="inlineStr">
        <is>
          <t>HYLTE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45254</v>
      </c>
      <c r="E384" s="1" t="n">
        <v>46259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21330-2025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45782</v>
      </c>
      <c r="E385" s="1" t="n">
        <v>46259</v>
      </c>
      <c r="F385" t="inlineStr">
        <is>
          <t>HALLANDS LÄN</t>
        </is>
      </c>
      <c r="G385" t="inlineStr">
        <is>
          <t>HYLTE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46259</v>
      </c>
      <c r="F386" t="inlineStr">
        <is>
          <t>HALLANDS LÄN</t>
        </is>
      </c>
      <c r="G386" t="inlineStr">
        <is>
          <t>HYLTE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44965</v>
      </c>
      <c r="E387" s="1" t="n">
        <v>46259</v>
      </c>
      <c r="F387" t="inlineStr">
        <is>
          <t>HALLANDS LÄN</t>
        </is>
      </c>
      <c r="G387" t="inlineStr">
        <is>
          <t>HYLTE</t>
        </is>
      </c>
      <c r="H387" t="inlineStr">
        <is>
          <t>Bergvik skog väst AB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20473-2022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46259</v>
      </c>
      <c r="F388" t="inlineStr">
        <is>
          <t>HALLANDS LÄN</t>
        </is>
      </c>
      <c r="G388" t="inlineStr">
        <is>
          <t>HYLTE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34197-2024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46259</v>
      </c>
      <c r="F389" t="inlineStr">
        <is>
          <t>HALLANDS LÄN</t>
        </is>
      </c>
      <c r="G389" t="inlineStr">
        <is>
          <t>HYLTE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52465-2023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45225</v>
      </c>
      <c r="E390" s="1" t="n">
        <v>46259</v>
      </c>
      <c r="F390" t="inlineStr">
        <is>
          <t>HALLANDS LÄN</t>
        </is>
      </c>
      <c r="G390" t="inlineStr">
        <is>
          <t>HYLTE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46259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7302-2023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46259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46259</v>
      </c>
      <c r="F393" t="inlineStr">
        <is>
          <t>HALLANDS LÄN</t>
        </is>
      </c>
      <c r="G393" t="inlineStr">
        <is>
          <t>HYLTE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45929</v>
      </c>
      <c r="E394" s="1" t="n">
        <v>46259</v>
      </c>
      <c r="F394" t="inlineStr">
        <is>
          <t>HALLANDS LÄN</t>
        </is>
      </c>
      <c r="G394" t="inlineStr">
        <is>
          <t>HYLTE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46259</v>
      </c>
      <c r="F395" t="inlineStr">
        <is>
          <t>HALLANDS LÄN</t>
        </is>
      </c>
      <c r="G395" t="inlineStr">
        <is>
          <t>HYLTE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46259</v>
      </c>
      <c r="F396" t="inlineStr">
        <is>
          <t>HALLANDS LÄN</t>
        </is>
      </c>
      <c r="G396" t="inlineStr">
        <is>
          <t>HYLTE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45107</v>
      </c>
      <c r="E397" s="1" t="n">
        <v>46259</v>
      </c>
      <c r="F397" t="inlineStr">
        <is>
          <t>HALLANDS LÄN</t>
        </is>
      </c>
      <c r="G397" t="inlineStr">
        <is>
          <t>HYLTE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40451-2022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44823</v>
      </c>
      <c r="E398" s="1" t="n">
        <v>46259</v>
      </c>
      <c r="F398" t="inlineStr">
        <is>
          <t>HALLANDS LÄN</t>
        </is>
      </c>
      <c r="G398" t="inlineStr">
        <is>
          <t>HYLTE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46259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65003-2023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45287</v>
      </c>
      <c r="E400" s="1" t="n">
        <v>46259</v>
      </c>
      <c r="F400" t="inlineStr">
        <is>
          <t>HALLANDS LÄN</t>
        </is>
      </c>
      <c r="G400" t="inlineStr">
        <is>
          <t>HYLTE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47698-2025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45931</v>
      </c>
      <c r="E401" s="1" t="n">
        <v>46259</v>
      </c>
      <c r="F401" t="inlineStr">
        <is>
          <t>HALLANDS LÄN</t>
        </is>
      </c>
      <c r="G401" t="inlineStr">
        <is>
          <t>HYLTE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45931</v>
      </c>
      <c r="E402" s="1" t="n">
        <v>46259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47513-2025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46259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46259</v>
      </c>
      <c r="F404" t="inlineStr">
        <is>
          <t>HALLANDS LÄN</t>
        </is>
      </c>
      <c r="G404" t="inlineStr">
        <is>
          <t>HYLTE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44701</v>
      </c>
      <c r="E405" s="1" t="n">
        <v>46259</v>
      </c>
      <c r="F405" t="inlineStr">
        <is>
          <t>HALLANDS LÄN</t>
        </is>
      </c>
      <c r="G405" t="inlineStr">
        <is>
          <t>HYLTE</t>
        </is>
      </c>
      <c r="H405" t="inlineStr">
        <is>
          <t>Bergvik skog väst AB</t>
        </is>
      </c>
      <c r="I405" t="n">
        <v>10.7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45936</v>
      </c>
      <c r="E406" s="1" t="n">
        <v>46259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46259</v>
      </c>
      <c r="F407" t="inlineStr">
        <is>
          <t>HALLANDS LÄN</t>
        </is>
      </c>
      <c r="G407" t="inlineStr">
        <is>
          <t>HYLTE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48123-2025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45933</v>
      </c>
      <c r="E408" s="1" t="n">
        <v>46259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45933</v>
      </c>
      <c r="E409" s="1" t="n">
        <v>46259</v>
      </c>
      <c r="F409" t="inlineStr">
        <is>
          <t>HALLANDS LÄN</t>
        </is>
      </c>
      <c r="G409" t="inlineStr">
        <is>
          <t>HYLTE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45456</v>
      </c>
      <c r="E410" s="1" t="n">
        <v>46259</v>
      </c>
      <c r="F410" t="inlineStr">
        <is>
          <t>HALLANDS LÄN</t>
        </is>
      </c>
      <c r="G410" t="inlineStr">
        <is>
          <t>HYLTE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45092</v>
      </c>
      <c r="E411" s="1" t="n">
        <v>46259</v>
      </c>
      <c r="F411" t="inlineStr">
        <is>
          <t>HALLANDS LÄN</t>
        </is>
      </c>
      <c r="G411" t="inlineStr">
        <is>
          <t>HYLTE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45936</v>
      </c>
      <c r="E412" s="1" t="n">
        <v>46259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26363-2022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44735</v>
      </c>
      <c r="E413" s="1" t="n">
        <v>46259</v>
      </c>
      <c r="F413" t="inlineStr">
        <is>
          <t>HALLANDS LÄN</t>
        </is>
      </c>
      <c r="G413" t="inlineStr">
        <is>
          <t>HYLTE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48821-2025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45937</v>
      </c>
      <c r="E414" s="1" t="n">
        <v>46259</v>
      </c>
      <c r="F414" t="inlineStr">
        <is>
          <t>HALLANDS LÄN</t>
        </is>
      </c>
      <c r="G414" t="inlineStr">
        <is>
          <t>HYLTE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14254-2022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44651</v>
      </c>
      <c r="E415" s="1" t="n">
        <v>46259</v>
      </c>
      <c r="F415" t="inlineStr">
        <is>
          <t>HALLANDS LÄN</t>
        </is>
      </c>
      <c r="G415" t="inlineStr">
        <is>
          <t>HYLTE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46259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46259</v>
      </c>
      <c r="F417" t="inlineStr">
        <is>
          <t>HALLANDS LÄN</t>
        </is>
      </c>
      <c r="G417" t="inlineStr">
        <is>
          <t>HYLTE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53182-2023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46259</v>
      </c>
      <c r="F418" t="inlineStr">
        <is>
          <t>HALLANDS LÄN</t>
        </is>
      </c>
      <c r="G418" t="inlineStr">
        <is>
          <t>HYLTE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45002</v>
      </c>
      <c r="E419" s="1" t="n">
        <v>46259</v>
      </c>
      <c r="F419" t="inlineStr">
        <is>
          <t>HALLANDS LÄN</t>
        </is>
      </c>
      <c r="G419" t="inlineStr">
        <is>
          <t>HYLTE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46259</v>
      </c>
      <c r="F420" t="inlineStr">
        <is>
          <t>HALLANDS LÄN</t>
        </is>
      </c>
      <c r="G420" t="inlineStr">
        <is>
          <t>HYLTE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46259</v>
      </c>
      <c r="F421" t="inlineStr">
        <is>
          <t>HALLANDS LÄN</t>
        </is>
      </c>
      <c r="G421" t="inlineStr">
        <is>
          <t>HYLTE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46259</v>
      </c>
      <c r="F422" t="inlineStr">
        <is>
          <t>HALLANDS LÄN</t>
        </is>
      </c>
      <c r="G422" t="inlineStr">
        <is>
          <t>HYLTE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46084</v>
      </c>
      <c r="E423" s="1" t="n">
        <v>46259</v>
      </c>
      <c r="F423" t="inlineStr">
        <is>
          <t>HALLANDS LÄN</t>
        </is>
      </c>
      <c r="G423" t="inlineStr">
        <is>
          <t>HYLTE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46259</v>
      </c>
      <c r="F424" t="inlineStr">
        <is>
          <t>HALLANDS LÄN</t>
        </is>
      </c>
      <c r="G424" t="inlineStr">
        <is>
          <t>HYLTE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45848</v>
      </c>
      <c r="E425" s="1" t="n">
        <v>46259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46259</v>
      </c>
      <c r="F426" t="inlineStr">
        <is>
          <t>HALLANDS LÄN</t>
        </is>
      </c>
      <c r="G426" t="inlineStr">
        <is>
          <t>HYLTE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45145</v>
      </c>
      <c r="E427" s="1" t="n">
        <v>46259</v>
      </c>
      <c r="F427" t="inlineStr">
        <is>
          <t>HALLANDS LÄN</t>
        </is>
      </c>
      <c r="G427" t="inlineStr">
        <is>
          <t>HYLTE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46259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39634-2023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46259</v>
      </c>
      <c r="F429" t="inlineStr">
        <is>
          <t>HALLANDS LÄN</t>
        </is>
      </c>
      <c r="G429" t="inlineStr">
        <is>
          <t>HYLTE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45254</v>
      </c>
      <c r="E430" s="1" t="n">
        <v>46259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45254</v>
      </c>
      <c r="E431" s="1" t="n">
        <v>46259</v>
      </c>
      <c r="F431" t="inlineStr">
        <is>
          <t>HALLANDS LÄN</t>
        </is>
      </c>
      <c r="G431" t="inlineStr">
        <is>
          <t>HYLTE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57291-2023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46259</v>
      </c>
      <c r="F432" t="inlineStr">
        <is>
          <t>HALLANDS LÄN</t>
        </is>
      </c>
      <c r="G432" t="inlineStr">
        <is>
          <t>HYLTE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44778</v>
      </c>
      <c r="E433" s="1" t="n">
        <v>46259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45638</v>
      </c>
      <c r="E434" s="1" t="n">
        <v>46259</v>
      </c>
      <c r="F434" t="inlineStr">
        <is>
          <t>HALLANDS LÄN</t>
        </is>
      </c>
      <c r="G434" t="inlineStr">
        <is>
          <t>HYLTE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43261-2024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46259</v>
      </c>
      <c r="F435" t="inlineStr">
        <is>
          <t>HALLANDS LÄN</t>
        </is>
      </c>
      <c r="G435" t="inlineStr">
        <is>
          <t>HYLTE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46253-2022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44847</v>
      </c>
      <c r="E436" s="1" t="n">
        <v>46259</v>
      </c>
      <c r="F436" t="inlineStr">
        <is>
          <t>HALLANDS LÄN</t>
        </is>
      </c>
      <c r="G436" t="inlineStr">
        <is>
          <t>HYLTE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19659-2022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44694</v>
      </c>
      <c r="E437" s="1" t="n">
        <v>46259</v>
      </c>
      <c r="F437" t="inlineStr">
        <is>
          <t>HALLANDS LÄN</t>
        </is>
      </c>
      <c r="G437" t="inlineStr">
        <is>
          <t>HYLTE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22309-2022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44712</v>
      </c>
      <c r="E438" s="1" t="n">
        <v>46259</v>
      </c>
      <c r="F438" t="inlineStr">
        <is>
          <t>HALLANDS LÄN</t>
        </is>
      </c>
      <c r="G438" t="inlineStr">
        <is>
          <t>HYLTE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54411-2024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46259</v>
      </c>
      <c r="F439" t="inlineStr">
        <is>
          <t>HALLANDS LÄN</t>
        </is>
      </c>
      <c r="G439" t="inlineStr">
        <is>
          <t>HYLTE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46259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46259</v>
      </c>
      <c r="F441" t="inlineStr">
        <is>
          <t>HALLANDS LÄN</t>
        </is>
      </c>
      <c r="G441" t="inlineStr">
        <is>
          <t>HYLTE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46259</v>
      </c>
      <c r="F442" t="inlineStr">
        <is>
          <t>HALLANDS LÄN</t>
        </is>
      </c>
      <c r="G442" t="inlineStr">
        <is>
          <t>HYLTE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46259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45939</v>
      </c>
      <c r="E444" s="1" t="n">
        <v>46259</v>
      </c>
      <c r="F444" t="inlineStr">
        <is>
          <t>HALLANDS LÄN</t>
        </is>
      </c>
      <c r="G444" t="inlineStr">
        <is>
          <t>HYLTE</t>
        </is>
      </c>
      <c r="H444" t="inlineStr">
        <is>
          <t>Kyrkan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45351</v>
      </c>
      <c r="E445" s="1" t="n">
        <v>46259</v>
      </c>
      <c r="F445" t="inlineStr">
        <is>
          <t>HALLANDS LÄN</t>
        </is>
      </c>
      <c r="G445" t="inlineStr">
        <is>
          <t>HYLTE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44797</v>
      </c>
      <c r="E446" s="1" t="n">
        <v>46259</v>
      </c>
      <c r="F446" t="inlineStr">
        <is>
          <t>HALLANDS LÄN</t>
        </is>
      </c>
      <c r="G446" t="inlineStr">
        <is>
          <t>HYLTE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45267</v>
      </c>
      <c r="E447" s="1" t="n">
        <v>46259</v>
      </c>
      <c r="F447" t="inlineStr">
        <is>
          <t>HALLANDS LÄN</t>
        </is>
      </c>
      <c r="G447" t="inlineStr">
        <is>
          <t>HYLTE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46259</v>
      </c>
      <c r="F448" t="inlineStr">
        <is>
          <t>HALLANDS LÄN</t>
        </is>
      </c>
      <c r="G448" t="inlineStr">
        <is>
          <t>HYLTE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45944</v>
      </c>
      <c r="E449" s="1" t="n">
        <v>46259</v>
      </c>
      <c r="F449" t="inlineStr">
        <is>
          <t>HALLANDS LÄN</t>
        </is>
      </c>
      <c r="G449" t="inlineStr">
        <is>
          <t>HYLTE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25217-2022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44729</v>
      </c>
      <c r="E450" s="1" t="n">
        <v>46259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29479-2024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46259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74307-2021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44559</v>
      </c>
      <c r="E452" s="1" t="n">
        <v>46259</v>
      </c>
      <c r="F452" t="inlineStr">
        <is>
          <t>HALLANDS LÄN</t>
        </is>
      </c>
      <c r="G452" t="inlineStr">
        <is>
          <t>HYLTE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10364-2023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44980</v>
      </c>
      <c r="E453" s="1" t="n">
        <v>46259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45246</v>
      </c>
      <c r="E454" s="1" t="n">
        <v>46259</v>
      </c>
      <c r="F454" t="inlineStr">
        <is>
          <t>HALLANDS LÄN</t>
        </is>
      </c>
      <c r="G454" t="inlineStr">
        <is>
          <t>HYLTE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45715</v>
      </c>
      <c r="E455" s="1" t="n">
        <v>46259</v>
      </c>
      <c r="F455" t="inlineStr">
        <is>
          <t>HALLANDS LÄN</t>
        </is>
      </c>
      <c r="G455" t="inlineStr">
        <is>
          <t>HYLTE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56580-2022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44893</v>
      </c>
      <c r="E456" s="1" t="n">
        <v>46259</v>
      </c>
      <c r="F456" t="inlineStr">
        <is>
          <t>HALLANDS LÄN</t>
        </is>
      </c>
      <c r="G456" t="inlineStr">
        <is>
          <t>HYLTE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46259</v>
      </c>
      <c r="F457" t="inlineStr">
        <is>
          <t>HALLANDS LÄN</t>
        </is>
      </c>
      <c r="G457" t="inlineStr">
        <is>
          <t>HYLTE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45544</v>
      </c>
      <c r="E458" s="1" t="n">
        <v>46259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45455</v>
      </c>
      <c r="E459" s="1" t="n">
        <v>46259</v>
      </c>
      <c r="F459" t="inlineStr">
        <is>
          <t>HALLANDS LÄN</t>
        </is>
      </c>
      <c r="G459" t="inlineStr">
        <is>
          <t>HYLTE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45104</v>
      </c>
      <c r="E460" s="1" t="n">
        <v>46259</v>
      </c>
      <c r="F460" t="inlineStr">
        <is>
          <t>HALLANDS LÄN</t>
        </is>
      </c>
      <c r="G460" t="inlineStr">
        <is>
          <t>HYLTE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45334</v>
      </c>
      <c r="E461" s="1" t="n">
        <v>46259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45229</v>
      </c>
      <c r="E462" s="1" t="n">
        <v>46259</v>
      </c>
      <c r="F462" t="inlineStr">
        <is>
          <t>HALLANDS LÄN</t>
        </is>
      </c>
      <c r="G462" t="inlineStr">
        <is>
          <t>HYLTE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45352</v>
      </c>
      <c r="E463" s="1" t="n">
        <v>46259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46259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46259</v>
      </c>
      <c r="F465" t="inlineStr">
        <is>
          <t>HALLANDS LÄN</t>
        </is>
      </c>
      <c r="G465" t="inlineStr">
        <is>
          <t>HYLTE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46259</v>
      </c>
      <c r="F466" t="inlineStr">
        <is>
          <t>HALLANDS LÄN</t>
        </is>
      </c>
      <c r="G466" t="inlineStr">
        <is>
          <t>HYLTE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45502</v>
      </c>
      <c r="E467" s="1" t="n">
        <v>46259</v>
      </c>
      <c r="F467" t="inlineStr">
        <is>
          <t>HALLANDS LÄN</t>
        </is>
      </c>
      <c r="G467" t="inlineStr">
        <is>
          <t>HYLTE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9610-2025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45715</v>
      </c>
      <c r="E468" s="1" t="n">
        <v>46259</v>
      </c>
      <c r="F468" t="inlineStr">
        <is>
          <t>HALLANDS LÄN</t>
        </is>
      </c>
      <c r="G468" t="inlineStr">
        <is>
          <t>HYLTE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3126-2024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46259</v>
      </c>
      <c r="F469" t="inlineStr">
        <is>
          <t>HALLANDS LÄN</t>
        </is>
      </c>
      <c r="G469" t="inlineStr">
        <is>
          <t>HYLTE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46259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44796</v>
      </c>
      <c r="E471" s="1" t="n">
        <v>46259</v>
      </c>
      <c r="F471" t="inlineStr">
        <is>
          <t>HALLANDS LÄN</t>
        </is>
      </c>
      <c r="G471" t="inlineStr">
        <is>
          <t>HYLTE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45709</v>
      </c>
      <c r="E472" s="1" t="n">
        <v>46259</v>
      </c>
      <c r="F472" t="inlineStr">
        <is>
          <t>HALLANDS LÄN</t>
        </is>
      </c>
      <c r="G472" t="inlineStr">
        <is>
          <t>HYLTE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46259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44901</v>
      </c>
      <c r="E474" s="1" t="n">
        <v>46259</v>
      </c>
      <c r="F474" t="inlineStr">
        <is>
          <t>HALLANDS LÄN</t>
        </is>
      </c>
      <c r="G474" t="inlineStr">
        <is>
          <t>HYLTE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46259</v>
      </c>
      <c r="F475" t="inlineStr">
        <is>
          <t>HALLANDS LÄN</t>
        </is>
      </c>
      <c r="G475" t="inlineStr">
        <is>
          <t>HYLTE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46259</v>
      </c>
      <c r="F476" t="inlineStr">
        <is>
          <t>HALLANDS LÄN</t>
        </is>
      </c>
      <c r="G476" t="inlineStr">
        <is>
          <t>HYLTE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45589</v>
      </c>
      <c r="E477" s="1" t="n">
        <v>46259</v>
      </c>
      <c r="F477" t="inlineStr">
        <is>
          <t>HALLANDS LÄN</t>
        </is>
      </c>
      <c r="G477" t="inlineStr">
        <is>
          <t>HYLTE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46259</v>
      </c>
      <c r="F478" t="inlineStr">
        <is>
          <t>HALLANDS LÄN</t>
        </is>
      </c>
      <c r="G478" t="inlineStr">
        <is>
          <t>HYLTE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44899</v>
      </c>
      <c r="E479" s="1" t="n">
        <v>46259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46259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45548</v>
      </c>
      <c r="E481" s="1" t="n">
        <v>46259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44958</v>
      </c>
      <c r="E482" s="1" t="n">
        <v>46259</v>
      </c>
      <c r="F482" t="inlineStr">
        <is>
          <t>HALLANDS LÄN</t>
        </is>
      </c>
      <c r="G482" t="inlineStr">
        <is>
          <t>HYLTE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1950-2022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44575</v>
      </c>
      <c r="E483" s="1" t="n">
        <v>46259</v>
      </c>
      <c r="F483" t="inlineStr">
        <is>
          <t>HALLANDS LÄN</t>
        </is>
      </c>
      <c r="G483" t="inlineStr">
        <is>
          <t>HYLTE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45572</v>
      </c>
      <c r="E484" s="1" t="n">
        <v>46259</v>
      </c>
      <c r="F484" t="inlineStr">
        <is>
          <t>HALLANDS LÄN</t>
        </is>
      </c>
      <c r="G484" t="inlineStr">
        <is>
          <t>HYLTE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46259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46259</v>
      </c>
      <c r="F486" t="inlineStr">
        <is>
          <t>HALLANDS LÄN</t>
        </is>
      </c>
      <c r="G486" t="inlineStr">
        <is>
          <t>HYLTE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44951</v>
      </c>
      <c r="E487" s="1" t="n">
        <v>46259</v>
      </c>
      <c r="F487" t="inlineStr">
        <is>
          <t>HALLANDS LÄN</t>
        </is>
      </c>
      <c r="G487" t="inlineStr">
        <is>
          <t>HYLTE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46259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46259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45265</v>
      </c>
      <c r="E490" s="1" t="n">
        <v>46259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45432</v>
      </c>
      <c r="E491" s="1" t="n">
        <v>46259</v>
      </c>
      <c r="F491" t="inlineStr">
        <is>
          <t>HALLANDS LÄN</t>
        </is>
      </c>
      <c r="G491" t="inlineStr">
        <is>
          <t>HYLTE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46259</v>
      </c>
      <c r="F492" t="inlineStr">
        <is>
          <t>HALLANDS LÄN</t>
        </is>
      </c>
      <c r="G492" t="inlineStr">
        <is>
          <t>HYLTE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46259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45132</v>
      </c>
      <c r="E494" s="1" t="n">
        <v>46259</v>
      </c>
      <c r="F494" t="inlineStr">
        <is>
          <t>HALLANDS LÄN</t>
        </is>
      </c>
      <c r="G494" t="inlineStr">
        <is>
          <t>HYLTE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45246</v>
      </c>
      <c r="E495" s="1" t="n">
        <v>46259</v>
      </c>
      <c r="F495" t="inlineStr">
        <is>
          <t>HALLANDS LÄN</t>
        </is>
      </c>
      <c r="G495" t="inlineStr">
        <is>
          <t>HYLTE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46259</v>
      </c>
      <c r="F496" t="inlineStr">
        <is>
          <t>HALLANDS LÄN</t>
        </is>
      </c>
      <c r="G496" t="inlineStr">
        <is>
          <t>HYLTE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18840-2024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45426</v>
      </c>
      <c r="E497" s="1" t="n">
        <v>46259</v>
      </c>
      <c r="F497" t="inlineStr">
        <is>
          <t>HALLANDS LÄN</t>
        </is>
      </c>
      <c r="G497" t="inlineStr">
        <is>
          <t>HYLTE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45371</v>
      </c>
      <c r="E498" s="1" t="n">
        <v>46259</v>
      </c>
      <c r="F498" t="inlineStr">
        <is>
          <t>HALLANDS LÄN</t>
        </is>
      </c>
      <c r="G498" t="inlineStr">
        <is>
          <t>HYLTE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46259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46259</v>
      </c>
      <c r="F500" t="inlineStr">
        <is>
          <t>HALLANDS LÄN</t>
        </is>
      </c>
      <c r="G500" t="inlineStr">
        <is>
          <t>HYLTE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24394-2026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46259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46259</v>
      </c>
      <c r="F502" t="inlineStr">
        <is>
          <t>HALLANDS LÄN</t>
        </is>
      </c>
      <c r="G502" t="inlineStr">
        <is>
          <t>HYLTE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52755-2025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46259</v>
      </c>
      <c r="F503" t="inlineStr">
        <is>
          <t>HALLANDS LÄN</t>
        </is>
      </c>
      <c r="G503" t="inlineStr">
        <is>
          <t>HYLTE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45441</v>
      </c>
      <c r="E504" s="1" t="n">
        <v>46259</v>
      </c>
      <c r="F504" t="inlineStr">
        <is>
          <t>HALLANDS LÄN</t>
        </is>
      </c>
      <c r="G504" t="inlineStr">
        <is>
          <t>HYLTE</t>
        </is>
      </c>
      <c r="H504" t="inlineStr">
        <is>
          <t>Kyrkan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46259</v>
      </c>
      <c r="F505" t="inlineStr">
        <is>
          <t>HALLANDS LÄN</t>
        </is>
      </c>
      <c r="G505" t="inlineStr">
        <is>
          <t>HYLTE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46259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56310-2024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45624</v>
      </c>
      <c r="E507" s="1" t="n">
        <v>46259</v>
      </c>
      <c r="F507" t="inlineStr">
        <is>
          <t>HALLANDS LÄN</t>
        </is>
      </c>
      <c r="G507" t="inlineStr">
        <is>
          <t>HYLTE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46259</v>
      </c>
      <c r="F508" t="inlineStr">
        <is>
          <t>HALLANDS LÄN</t>
        </is>
      </c>
      <c r="G508" t="inlineStr">
        <is>
          <t>HYLTE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45751</v>
      </c>
      <c r="E509" s="1" t="n">
        <v>46259</v>
      </c>
      <c r="F509" t="inlineStr">
        <is>
          <t>HALLANDS LÄN</t>
        </is>
      </c>
      <c r="G509" t="inlineStr">
        <is>
          <t>HYLTE</t>
        </is>
      </c>
      <c r="H509" t="inlineStr">
        <is>
          <t>Kyrkan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46259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45916-2024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45580</v>
      </c>
      <c r="E511" s="1" t="n">
        <v>46259</v>
      </c>
      <c r="F511" t="inlineStr">
        <is>
          <t>HALLANDS LÄN</t>
        </is>
      </c>
      <c r="G511" t="inlineStr">
        <is>
          <t>HYLTE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43402-2024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45568</v>
      </c>
      <c r="E512" s="1" t="n">
        <v>46259</v>
      </c>
      <c r="F512" t="inlineStr">
        <is>
          <t>HALLANDS LÄN</t>
        </is>
      </c>
      <c r="G512" t="inlineStr">
        <is>
          <t>HYLTE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46259</v>
      </c>
      <c r="F513" t="inlineStr">
        <is>
          <t>HALLANDS LÄN</t>
        </is>
      </c>
      <c r="G513" t="inlineStr">
        <is>
          <t>HYLTE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45961</v>
      </c>
      <c r="E514" s="1" t="n">
        <v>46259</v>
      </c>
      <c r="F514" t="inlineStr">
        <is>
          <t>HALLANDS LÄN</t>
        </is>
      </c>
      <c r="G514" t="inlineStr">
        <is>
          <t>HYLTE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46259</v>
      </c>
      <c r="F515" t="inlineStr">
        <is>
          <t>HALLANDS LÄN</t>
        </is>
      </c>
      <c r="G515" t="inlineStr">
        <is>
          <t>HYLTE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53939-2025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45961</v>
      </c>
      <c r="E516" s="1" t="n">
        <v>46259</v>
      </c>
      <c r="F516" t="inlineStr">
        <is>
          <t>HALLANDS LÄN</t>
        </is>
      </c>
      <c r="G516" t="inlineStr">
        <is>
          <t>HYLTE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45922</v>
      </c>
      <c r="E517" s="1" t="n">
        <v>46259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46259</v>
      </c>
      <c r="F518" t="inlineStr">
        <is>
          <t>HALLANDS LÄN</t>
        </is>
      </c>
      <c r="G518" t="inlineStr">
        <is>
          <t>HYLTE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46259</v>
      </c>
      <c r="F519" t="inlineStr">
        <is>
          <t>HALLANDS LÄN</t>
        </is>
      </c>
      <c r="G519" t="inlineStr">
        <is>
          <t>HYLTE</t>
        </is>
      </c>
      <c r="I519" t="n">
        <v>17.9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46259</v>
      </c>
      <c r="F520" t="inlineStr">
        <is>
          <t>HALLANDS LÄN</t>
        </is>
      </c>
      <c r="G520" t="inlineStr">
        <is>
          <t>HYLTE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44714</v>
      </c>
      <c r="E521" s="1" t="n">
        <v>46259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38602-2022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44813</v>
      </c>
      <c r="E522" s="1" t="n">
        <v>46259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38825-2023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46259</v>
      </c>
      <c r="F523" t="inlineStr">
        <is>
          <t>HALLANDS LÄN</t>
        </is>
      </c>
      <c r="G523" t="inlineStr">
        <is>
          <t>HYLTE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46259</v>
      </c>
      <c r="F524" t="inlineStr">
        <is>
          <t>HALLANDS LÄN</t>
        </is>
      </c>
      <c r="G524" t="inlineStr">
        <is>
          <t>HYLTE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46259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46259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46259</v>
      </c>
      <c r="F527" t="inlineStr">
        <is>
          <t>HALLANDS LÄN</t>
        </is>
      </c>
      <c r="G527" t="inlineStr">
        <is>
          <t>HYLTE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44726</v>
      </c>
      <c r="E528" s="1" t="n">
        <v>46259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46259</v>
      </c>
      <c r="F529" t="inlineStr">
        <is>
          <t>HALLANDS LÄN</t>
        </is>
      </c>
      <c r="G529" t="inlineStr">
        <is>
          <t>HYLTE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55695-2025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45972</v>
      </c>
      <c r="E530" s="1" t="n">
        <v>46259</v>
      </c>
      <c r="F530" t="inlineStr">
        <is>
          <t>HALLANDS LÄN</t>
        </is>
      </c>
      <c r="G530" t="inlineStr">
        <is>
          <t>HYLTE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55644-2025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45972</v>
      </c>
      <c r="E531" s="1" t="n">
        <v>46259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45019</v>
      </c>
      <c r="E532" s="1" t="n">
        <v>46259</v>
      </c>
      <c r="F532" t="inlineStr">
        <is>
          <t>HALLANDS LÄN</t>
        </is>
      </c>
      <c r="G532" t="inlineStr">
        <is>
          <t>HYLTE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46259</v>
      </c>
      <c r="F533" t="inlineStr">
        <is>
          <t>HALLANDS LÄN</t>
        </is>
      </c>
      <c r="G533" t="inlineStr">
        <is>
          <t>HYLTE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45434</v>
      </c>
      <c r="E534" s="1" t="n">
        <v>46259</v>
      </c>
      <c r="F534" t="inlineStr">
        <is>
          <t>HALLANDS LÄN</t>
        </is>
      </c>
      <c r="G534" t="inlineStr">
        <is>
          <t>HYLTE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53815-2021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44469</v>
      </c>
      <c r="E535" s="1" t="n">
        <v>46259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46224</v>
      </c>
      <c r="E536" s="1" t="n">
        <v>46259</v>
      </c>
      <c r="F536" t="inlineStr">
        <is>
          <t>HALLANDS LÄN</t>
        </is>
      </c>
      <c r="G536" t="inlineStr">
        <is>
          <t>HYLTE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57941-2022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44900</v>
      </c>
      <c r="E537" s="1" t="n">
        <v>46259</v>
      </c>
      <c r="F537" t="inlineStr">
        <is>
          <t>HALLANDS LÄN</t>
        </is>
      </c>
      <c r="G537" t="inlineStr">
        <is>
          <t>HYLTE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46259</v>
      </c>
      <c r="F538" t="inlineStr">
        <is>
          <t>HALLANDS LÄN</t>
        </is>
      </c>
      <c r="G538" t="inlineStr">
        <is>
          <t>HYLTE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45429</v>
      </c>
      <c r="E539" s="1" t="n">
        <v>46259</v>
      </c>
      <c r="F539" t="inlineStr">
        <is>
          <t>HALLANDS LÄN</t>
        </is>
      </c>
      <c r="G539" t="inlineStr">
        <is>
          <t>HYLTE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46259</v>
      </c>
      <c r="F540" t="inlineStr">
        <is>
          <t>HALLANDS LÄN</t>
        </is>
      </c>
      <c r="G540" t="inlineStr">
        <is>
          <t>HYLTE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46259</v>
      </c>
      <c r="F541" t="inlineStr">
        <is>
          <t>HALLANDS LÄN</t>
        </is>
      </c>
      <c r="G541" t="inlineStr">
        <is>
          <t>HYLTE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45979</v>
      </c>
      <c r="E542" s="1" t="n">
        <v>46259</v>
      </c>
      <c r="F542" t="inlineStr">
        <is>
          <t>HALLANDS LÄN</t>
        </is>
      </c>
      <c r="G542" t="inlineStr">
        <is>
          <t>HYLTE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13096-2023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46259</v>
      </c>
      <c r="F543" t="inlineStr">
        <is>
          <t>HALLANDS LÄN</t>
        </is>
      </c>
      <c r="G543" t="inlineStr">
        <is>
          <t>HYLTE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45684</v>
      </c>
      <c r="E544" s="1" t="n">
        <v>46259</v>
      </c>
      <c r="F544" t="inlineStr">
        <is>
          <t>HALLANDS LÄN</t>
        </is>
      </c>
      <c r="G544" t="inlineStr">
        <is>
          <t>HYLTE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46259</v>
      </c>
      <c r="F545" t="inlineStr">
        <is>
          <t>HALLANDS LÄN</t>
        </is>
      </c>
      <c r="G545" t="inlineStr">
        <is>
          <t>HYLTE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57512-2025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46259</v>
      </c>
      <c r="F546" t="inlineStr">
        <is>
          <t>HALLANDS LÄN</t>
        </is>
      </c>
      <c r="G546" t="inlineStr">
        <is>
          <t>HYLTE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57781-2025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46259</v>
      </c>
      <c r="F547" t="inlineStr">
        <is>
          <t>HALLANDS LÄN</t>
        </is>
      </c>
      <c r="G547" t="inlineStr">
        <is>
          <t>HYLTE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57794-2025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46259</v>
      </c>
      <c r="F548" t="inlineStr">
        <is>
          <t>HALLANDS LÄN</t>
        </is>
      </c>
      <c r="G548" t="inlineStr">
        <is>
          <t>HYLTE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45987</v>
      </c>
      <c r="E549" s="1" t="n">
        <v>46259</v>
      </c>
      <c r="F549" t="inlineStr">
        <is>
          <t>HALLANDS LÄN</t>
        </is>
      </c>
      <c r="G549" t="inlineStr">
        <is>
          <t>HYLTE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45342</v>
      </c>
      <c r="E550" s="1" t="n">
        <v>46259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27194-2026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46259</v>
      </c>
      <c r="F551" t="inlineStr">
        <is>
          <t>HALLANDS LÄN</t>
        </is>
      </c>
      <c r="G551" t="inlineStr">
        <is>
          <t>HYLTE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45477</v>
      </c>
      <c r="E552" s="1" t="n">
        <v>46259</v>
      </c>
      <c r="F552" t="inlineStr">
        <is>
          <t>HALLANDS LÄN</t>
        </is>
      </c>
      <c r="G552" t="inlineStr">
        <is>
          <t>HYLTE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45371</v>
      </c>
      <c r="E553" s="1" t="n">
        <v>46259</v>
      </c>
      <c r="F553" t="inlineStr">
        <is>
          <t>HALLANDS LÄN</t>
        </is>
      </c>
      <c r="G553" t="inlineStr">
        <is>
          <t>HYLTE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44953</v>
      </c>
      <c r="E554" s="1" t="n">
        <v>46259</v>
      </c>
      <c r="F554" t="inlineStr">
        <is>
          <t>HALLANDS LÄN</t>
        </is>
      </c>
      <c r="G554" t="inlineStr">
        <is>
          <t>HYLTE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45989</v>
      </c>
      <c r="E555" s="1" t="n">
        <v>46259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56066-2024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46259</v>
      </c>
      <c r="F556" t="inlineStr">
        <is>
          <t>HALLANDS LÄN</t>
        </is>
      </c>
      <c r="G556" t="inlineStr">
        <is>
          <t>HYLTE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46259</v>
      </c>
      <c r="F557" t="inlineStr">
        <is>
          <t>HALLANDS LÄN</t>
        </is>
      </c>
      <c r="G557" t="inlineStr">
        <is>
          <t>HYLTE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53294-2023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45229</v>
      </c>
      <c r="E558" s="1" t="n">
        <v>46259</v>
      </c>
      <c r="F558" t="inlineStr">
        <is>
          <t>HALLANDS LÄN</t>
        </is>
      </c>
      <c r="G558" t="inlineStr">
        <is>
          <t>HYLTE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46259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45995</v>
      </c>
      <c r="E560" s="1" t="n">
        <v>46259</v>
      </c>
      <c r="F560" t="inlineStr">
        <is>
          <t>HALLANDS LÄN</t>
        </is>
      </c>
      <c r="G560" t="inlineStr">
        <is>
          <t>HYLTE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45674</v>
      </c>
      <c r="E561" s="1" t="n">
        <v>46259</v>
      </c>
      <c r="F561" t="inlineStr">
        <is>
          <t>HALLANDS LÄN</t>
        </is>
      </c>
      <c r="G561" t="inlineStr">
        <is>
          <t>HYLTE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45035</v>
      </c>
      <c r="E562" s="1" t="n">
        <v>46259</v>
      </c>
      <c r="F562" t="inlineStr">
        <is>
          <t>HALLANDS LÄN</t>
        </is>
      </c>
      <c r="G562" t="inlineStr">
        <is>
          <t>HYLTE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11941-2022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44635</v>
      </c>
      <c r="E563" s="1" t="n">
        <v>46259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45700</v>
      </c>
      <c r="E564" s="1" t="n">
        <v>46259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45084</v>
      </c>
      <c r="E565" s="1" t="n">
        <v>46259</v>
      </c>
      <c r="F565" t="inlineStr">
        <is>
          <t>HALLANDS LÄN</t>
        </is>
      </c>
      <c r="G565" t="inlineStr">
        <is>
          <t>HYLTE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46259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46259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8128-2024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45351</v>
      </c>
      <c r="E568" s="1" t="n">
        <v>46259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46699-2025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45926</v>
      </c>
      <c r="E569" s="1" t="n">
        <v>46259</v>
      </c>
      <c r="F569" t="inlineStr">
        <is>
          <t>HALLANDS LÄN</t>
        </is>
      </c>
      <c r="G569" t="inlineStr">
        <is>
          <t>HYLTE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58995-2023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45252</v>
      </c>
      <c r="E570" s="1" t="n">
        <v>46259</v>
      </c>
      <c r="F570" t="inlineStr">
        <is>
          <t>HALLANDS LÄN</t>
        </is>
      </c>
      <c r="G570" t="inlineStr">
        <is>
          <t>HYLTE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29167-2022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44750</v>
      </c>
      <c r="E571" s="1" t="n">
        <v>46259</v>
      </c>
      <c r="F571" t="inlineStr">
        <is>
          <t>HALLANDS LÄN</t>
        </is>
      </c>
      <c r="G571" t="inlineStr">
        <is>
          <t>HYLTE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45368</v>
      </c>
      <c r="E572" s="1" t="n">
        <v>46259</v>
      </c>
      <c r="F572" t="inlineStr">
        <is>
          <t>HALLANDS LÄN</t>
        </is>
      </c>
      <c r="G572" t="inlineStr">
        <is>
          <t>HYLTE</t>
        </is>
      </c>
      <c r="H572" t="inlineStr">
        <is>
          <t>Kyrkan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44893</v>
      </c>
      <c r="E573" s="1" t="n">
        <v>46259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71120-2021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44539</v>
      </c>
      <c r="E574" s="1" t="n">
        <v>46259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45541</v>
      </c>
      <c r="E575" s="1" t="n">
        <v>46259</v>
      </c>
      <c r="F575" t="inlineStr">
        <is>
          <t>HALLANDS LÄN</t>
        </is>
      </c>
      <c r="G575" t="inlineStr">
        <is>
          <t>HYLTE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35041-2024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45527</v>
      </c>
      <c r="E576" s="1" t="n">
        <v>46259</v>
      </c>
      <c r="F576" t="inlineStr">
        <is>
          <t>HALLANDS LÄN</t>
        </is>
      </c>
      <c r="G576" t="inlineStr">
        <is>
          <t>HYLTE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29676-2026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46259</v>
      </c>
      <c r="F577" t="inlineStr">
        <is>
          <t>HALLANDS LÄN</t>
        </is>
      </c>
      <c r="G577" t="inlineStr">
        <is>
          <t>HYLTE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46259</v>
      </c>
      <c r="F578" t="inlineStr">
        <is>
          <t>HALLANDS LÄN</t>
        </is>
      </c>
      <c r="G578" t="inlineStr">
        <is>
          <t>HYLTE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46259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63888-2025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46020</v>
      </c>
      <c r="E580" s="1" t="n">
        <v>46259</v>
      </c>
      <c r="F580" t="inlineStr">
        <is>
          <t>HALLANDS LÄN</t>
        </is>
      </c>
      <c r="G580" t="inlineStr">
        <is>
          <t>HYLTE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46259</v>
      </c>
      <c r="F581" t="inlineStr">
        <is>
          <t>HALLANDS LÄN</t>
        </is>
      </c>
      <c r="G581" t="inlineStr">
        <is>
          <t>HYLTE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51223-2022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44868</v>
      </c>
      <c r="E582" s="1" t="n">
        <v>46259</v>
      </c>
      <c r="F582" t="inlineStr">
        <is>
          <t>HALLANDS LÄN</t>
        </is>
      </c>
      <c r="G582" t="inlineStr">
        <is>
          <t>HYLTE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46259</v>
      </c>
      <c r="F583" t="inlineStr">
        <is>
          <t>HALLANDS LÄN</t>
        </is>
      </c>
      <c r="G583" t="inlineStr">
        <is>
          <t>HYLTE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46259</v>
      </c>
      <c r="F584" t="inlineStr">
        <is>
          <t>HALLANDS LÄN</t>
        </is>
      </c>
      <c r="G584" t="inlineStr">
        <is>
          <t>HYLTE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46259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45485</v>
      </c>
      <c r="E586" s="1" t="n">
        <v>46259</v>
      </c>
      <c r="F586" t="inlineStr">
        <is>
          <t>HALLANDS LÄN</t>
        </is>
      </c>
      <c r="G586" t="inlineStr">
        <is>
          <t>HYLTE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25067-2024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46259</v>
      </c>
      <c r="F587" t="inlineStr">
        <is>
          <t>HALLANDS LÄN</t>
        </is>
      </c>
      <c r="G587" t="inlineStr">
        <is>
          <t>HYLTE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46241</v>
      </c>
      <c r="E588" s="1" t="n">
        <v>46259</v>
      </c>
      <c r="F588" t="inlineStr">
        <is>
          <t>HALLANDS LÄN</t>
        </is>
      </c>
      <c r="G588" t="inlineStr">
        <is>
          <t>HYLTE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33498-2026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46248</v>
      </c>
      <c r="E589" s="1" t="n">
        <v>46259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41503-2024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45560</v>
      </c>
      <c r="E590" s="1" t="n">
        <v>46259</v>
      </c>
      <c r="F590" t="inlineStr">
        <is>
          <t>HALLANDS LÄN</t>
        </is>
      </c>
      <c r="G590" t="inlineStr">
        <is>
          <t>HYLTE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33561-2026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46259</v>
      </c>
      <c r="F591" t="inlineStr">
        <is>
          <t>HALLANDS LÄN</t>
        </is>
      </c>
      <c r="G591" t="inlineStr">
        <is>
          <t>HYLTE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25537-2023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45089</v>
      </c>
      <c r="E592" s="1" t="n">
        <v>46259</v>
      </c>
      <c r="F592" t="inlineStr">
        <is>
          <t>HALLANDS LÄN</t>
        </is>
      </c>
      <c r="G592" t="inlineStr">
        <is>
          <t>HYLTE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46259</v>
      </c>
      <c r="F593" t="inlineStr">
        <is>
          <t>HALLANDS LÄN</t>
        </is>
      </c>
      <c r="G593" t="inlineStr">
        <is>
          <t>HYLTE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46224</v>
      </c>
      <c r="E594" s="1" t="n">
        <v>46259</v>
      </c>
      <c r="F594" t="inlineStr">
        <is>
          <t>HALLANDS LÄN</t>
        </is>
      </c>
      <c r="G594" t="inlineStr">
        <is>
          <t>HYLTE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46259</v>
      </c>
      <c r="F595" t="inlineStr">
        <is>
          <t>HALLANDS LÄN</t>
        </is>
      </c>
      <c r="G595" t="inlineStr">
        <is>
          <t>HYLTE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46259</v>
      </c>
      <c r="F596" t="inlineStr">
        <is>
          <t>HALLANDS LÄN</t>
        </is>
      </c>
      <c r="G596" t="inlineStr">
        <is>
          <t>HYLTE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46259</v>
      </c>
      <c r="F597" t="inlineStr">
        <is>
          <t>HALLANDS LÄN</t>
        </is>
      </c>
      <c r="G597" t="inlineStr">
        <is>
          <t>HYLTE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46259</v>
      </c>
      <c r="F598" t="inlineStr">
        <is>
          <t>HALLANDS LÄN</t>
        </is>
      </c>
      <c r="G598" t="inlineStr">
        <is>
          <t>HYLTE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46259</v>
      </c>
      <c r="F599" t="inlineStr">
        <is>
          <t>HALLANDS LÄN</t>
        </is>
      </c>
      <c r="G599" t="inlineStr">
        <is>
          <t>HYLTE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46259</v>
      </c>
      <c r="F600" t="inlineStr">
        <is>
          <t>HALLANDS LÄN</t>
        </is>
      </c>
      <c r="G600" t="inlineStr">
        <is>
          <t>HYLTE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45352</v>
      </c>
      <c r="E601" s="1" t="n">
        <v>46259</v>
      </c>
      <c r="F601" t="inlineStr">
        <is>
          <t>HALLANDS LÄN</t>
        </is>
      </c>
      <c r="G601" t="inlineStr">
        <is>
          <t>HYLTE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46259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46259</v>
      </c>
      <c r="F603" t="inlineStr">
        <is>
          <t>HALLANDS LÄN</t>
        </is>
      </c>
      <c r="G603" t="inlineStr">
        <is>
          <t>HYLTE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46259</v>
      </c>
      <c r="F604" t="inlineStr">
        <is>
          <t>HALLANDS LÄN</t>
        </is>
      </c>
      <c r="G604" t="inlineStr">
        <is>
          <t>HYLTE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46259</v>
      </c>
      <c r="F605" t="inlineStr">
        <is>
          <t>HALLANDS LÄN</t>
        </is>
      </c>
      <c r="G605" t="inlineStr">
        <is>
          <t>HYLTE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46048</v>
      </c>
      <c r="E606" s="1" t="n">
        <v>46259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46259</v>
      </c>
      <c r="F607" t="inlineStr">
        <is>
          <t>HALLANDS LÄN</t>
        </is>
      </c>
      <c r="G607" t="inlineStr">
        <is>
          <t>HYLTE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46259</v>
      </c>
      <c r="F608" t="inlineStr">
        <is>
          <t>HALLANDS LÄN</t>
        </is>
      </c>
      <c r="G608" t="inlineStr">
        <is>
          <t>HYLTE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46259</v>
      </c>
      <c r="F609" t="inlineStr">
        <is>
          <t>HALLANDS LÄN</t>
        </is>
      </c>
      <c r="G609" t="inlineStr">
        <is>
          <t>HYLTE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46259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33526-2026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46248</v>
      </c>
      <c r="E611" s="1" t="n">
        <v>46259</v>
      </c>
      <c r="F611" t="inlineStr">
        <is>
          <t>HALLANDS LÄN</t>
        </is>
      </c>
      <c r="G611" t="inlineStr">
        <is>
          <t>HYLTE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45377</v>
      </c>
      <c r="E612" s="1" t="n">
        <v>46259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46259</v>
      </c>
      <c r="F613" t="inlineStr">
        <is>
          <t>HALLANDS LÄN</t>
        </is>
      </c>
      <c r="G613" t="inlineStr">
        <is>
          <t>HYLTE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46259</v>
      </c>
      <c r="F614" t="inlineStr">
        <is>
          <t>HALLANDS LÄN</t>
        </is>
      </c>
      <c r="G614" t="inlineStr">
        <is>
          <t>HYLTE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46259</v>
      </c>
      <c r="F615" t="inlineStr">
        <is>
          <t>HALLANDS LÄN</t>
        </is>
      </c>
      <c r="G615" t="inlineStr">
        <is>
          <t>HYLTE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46259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46259</v>
      </c>
      <c r="F617" t="inlineStr">
        <is>
          <t>HALLANDS LÄN</t>
        </is>
      </c>
      <c r="G617" t="inlineStr">
        <is>
          <t>HYLTE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46259</v>
      </c>
      <c r="F618" t="inlineStr">
        <is>
          <t>HALLANDS LÄN</t>
        </is>
      </c>
      <c r="G618" t="inlineStr">
        <is>
          <t>HYLTE</t>
        </is>
      </c>
      <c r="H618" t="inlineStr">
        <is>
          <t>Kyrkan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59595-2024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45638</v>
      </c>
      <c r="E619" s="1" t="n">
        <v>46259</v>
      </c>
      <c r="F619" t="inlineStr">
        <is>
          <t>HALLANDS LÄN</t>
        </is>
      </c>
      <c r="G619" t="inlineStr">
        <is>
          <t>HYLTE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31168-2026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46209</v>
      </c>
      <c r="E620" s="1" t="n">
        <v>46259</v>
      </c>
      <c r="F620" t="inlineStr">
        <is>
          <t>HALLANDS LÄN</t>
        </is>
      </c>
      <c r="G620" t="inlineStr">
        <is>
          <t>HYLTE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46036</v>
      </c>
      <c r="E621" s="1" t="n">
        <v>46259</v>
      </c>
      <c r="F621" t="inlineStr">
        <is>
          <t>HALLANDS LÄN</t>
        </is>
      </c>
      <c r="G621" t="inlineStr">
        <is>
          <t>HYLTE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23108-2026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46161</v>
      </c>
      <c r="E622" s="1" t="n">
        <v>46259</v>
      </c>
      <c r="F622" t="inlineStr">
        <is>
          <t>HALLANDS LÄN</t>
        </is>
      </c>
      <c r="G622" t="inlineStr">
        <is>
          <t>HYLTE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46259</v>
      </c>
      <c r="F623" t="inlineStr">
        <is>
          <t>HALLANDS LÄN</t>
        </is>
      </c>
      <c r="G623" t="inlineStr">
        <is>
          <t>HYLTE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30151-2026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46259</v>
      </c>
      <c r="F624" t="inlineStr">
        <is>
          <t>HALLANDS LÄN</t>
        </is>
      </c>
      <c r="G624" t="inlineStr">
        <is>
          <t>HYLTE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46259</v>
      </c>
      <c r="F625" t="inlineStr">
        <is>
          <t>HALLANDS LÄN</t>
        </is>
      </c>
      <c r="G625" t="inlineStr">
        <is>
          <t>HYLTE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47772-2024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45588</v>
      </c>
      <c r="E626" s="1" t="n">
        <v>46259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54170-2024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45616</v>
      </c>
      <c r="E627" s="1" t="n">
        <v>46259</v>
      </c>
      <c r="F627" t="inlineStr">
        <is>
          <t>HALLANDS LÄN</t>
        </is>
      </c>
      <c r="G627" t="inlineStr">
        <is>
          <t>HYLTE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13789-2024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45391</v>
      </c>
      <c r="E628" s="1" t="n">
        <v>46259</v>
      </c>
      <c r="F628" t="inlineStr">
        <is>
          <t>HALLANDS LÄN</t>
        </is>
      </c>
      <c r="G628" t="inlineStr">
        <is>
          <t>HYLTE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31907-2024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45510</v>
      </c>
      <c r="E629" s="1" t="n">
        <v>46259</v>
      </c>
      <c r="F629" t="inlineStr">
        <is>
          <t>HALLANDS LÄN</t>
        </is>
      </c>
      <c r="G629" t="inlineStr">
        <is>
          <t>HYLTE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45783</v>
      </c>
      <c r="E630" s="1" t="n">
        <v>46259</v>
      </c>
      <c r="F630" t="inlineStr">
        <is>
          <t>HALLANDS LÄN</t>
        </is>
      </c>
      <c r="G630" t="inlineStr">
        <is>
          <t>HYLTE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54230-2024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46259</v>
      </c>
      <c r="F631" t="inlineStr">
        <is>
          <t>HALLANDS LÄN</t>
        </is>
      </c>
      <c r="G631" t="inlineStr">
        <is>
          <t>HYLTE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22323-2025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45786</v>
      </c>
      <c r="E632" s="1" t="n">
        <v>46259</v>
      </c>
      <c r="F632" t="inlineStr">
        <is>
          <t>HALLANDS LÄN</t>
        </is>
      </c>
      <c r="G632" t="inlineStr">
        <is>
          <t>HYLTE</t>
        </is>
      </c>
      <c r="H632" t="inlineStr">
        <is>
          <t>Kyrkan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41340-2024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45559</v>
      </c>
      <c r="E633" s="1" t="n">
        <v>46259</v>
      </c>
      <c r="F633" t="inlineStr">
        <is>
          <t>HALLANDS LÄN</t>
        </is>
      </c>
      <c r="G633" t="inlineStr">
        <is>
          <t>HYLTE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3397-2025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45680</v>
      </c>
      <c r="E634" s="1" t="n">
        <v>46259</v>
      </c>
      <c r="F634" t="inlineStr">
        <is>
          <t>HALLANDS LÄN</t>
        </is>
      </c>
      <c r="G634" t="inlineStr">
        <is>
          <t>HYLTE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52666-2023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45225</v>
      </c>
      <c r="E635" s="1" t="n">
        <v>46259</v>
      </c>
      <c r="F635" t="inlineStr">
        <is>
          <t>HALLANDS LÄN</t>
        </is>
      </c>
      <c r="G635" t="inlineStr">
        <is>
          <t>HYLTE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47983-2024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45589</v>
      </c>
      <c r="E636" s="1" t="n">
        <v>46259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54818-2024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45618</v>
      </c>
      <c r="E637" s="1" t="n">
        <v>46259</v>
      </c>
      <c r="F637" t="inlineStr">
        <is>
          <t>HALLANDS LÄN</t>
        </is>
      </c>
      <c r="G637" t="inlineStr">
        <is>
          <t>HYLTE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11461-2025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45726</v>
      </c>
      <c r="E638" s="1" t="n">
        <v>46259</v>
      </c>
      <c r="F638" t="inlineStr">
        <is>
          <t>HALLANDS LÄN</t>
        </is>
      </c>
      <c r="G638" t="inlineStr">
        <is>
          <t>HYLTE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46259</v>
      </c>
      <c r="F639" t="inlineStr">
        <is>
          <t>HALLANDS LÄN</t>
        </is>
      </c>
      <c r="G639" t="inlineStr">
        <is>
          <t>HYLTE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45483</v>
      </c>
      <c r="E640" s="1" t="n">
        <v>46259</v>
      </c>
      <c r="F640" t="inlineStr">
        <is>
          <t>HALLANDS LÄN</t>
        </is>
      </c>
      <c r="G640" t="inlineStr">
        <is>
          <t>HYLTE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52488-2024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45609</v>
      </c>
      <c r="E641" s="1" t="n">
        <v>46259</v>
      </c>
      <c r="F641" t="inlineStr">
        <is>
          <t>HALLANDS LÄN</t>
        </is>
      </c>
      <c r="G641" t="inlineStr">
        <is>
          <t>HYLTE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46259</v>
      </c>
      <c r="F642" t="inlineStr">
        <is>
          <t>HALLANDS LÄN</t>
        </is>
      </c>
      <c r="G642" t="inlineStr">
        <is>
          <t>HYLTE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29434-2024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45483</v>
      </c>
      <c r="E643" s="1" t="n">
        <v>46259</v>
      </c>
      <c r="F643" t="inlineStr">
        <is>
          <t>HALLANDS LÄN</t>
        </is>
      </c>
      <c r="G643" t="inlineStr">
        <is>
          <t>HYLTE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45743</v>
      </c>
      <c r="E644" s="1" t="n">
        <v>46259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48217-2024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46259</v>
      </c>
      <c r="F645" t="inlineStr">
        <is>
          <t>HALLANDS LÄN</t>
        </is>
      </c>
      <c r="G645" t="inlineStr">
        <is>
          <t>HYLTE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15008-2025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45743</v>
      </c>
      <c r="E646" s="1" t="n">
        <v>46259</v>
      </c>
      <c r="F646" t="inlineStr">
        <is>
          <t>HALLANDS LÄN</t>
        </is>
      </c>
      <c r="G646" t="inlineStr">
        <is>
          <t>HYLTE</t>
        </is>
      </c>
      <c r="H646" t="inlineStr">
        <is>
          <t>Bergvik skog väst AB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46057</v>
      </c>
      <c r="E647" s="1" t="n">
        <v>46259</v>
      </c>
      <c r="F647" t="inlineStr">
        <is>
          <t>HALLANDS LÄN</t>
        </is>
      </c>
      <c r="G647" t="inlineStr">
        <is>
          <t>HYLTE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41345-2024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46259</v>
      </c>
      <c r="F648" t="inlineStr">
        <is>
          <t>HALLANDS LÄN</t>
        </is>
      </c>
      <c r="G648" t="inlineStr">
        <is>
          <t>HYLTE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45681</v>
      </c>
      <c r="E649" s="1" t="n">
        <v>46259</v>
      </c>
      <c r="F649" t="inlineStr">
        <is>
          <t>HALLANDS LÄN</t>
        </is>
      </c>
      <c r="G649" t="inlineStr">
        <is>
          <t>HYLTE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45743</v>
      </c>
      <c r="E650" s="1" t="n">
        <v>46259</v>
      </c>
      <c r="F650" t="inlineStr">
        <is>
          <t>HALLANDS LÄN</t>
        </is>
      </c>
      <c r="G650" t="inlineStr">
        <is>
          <t>HYLTE</t>
        </is>
      </c>
      <c r="H650" t="inlineStr">
        <is>
          <t>Bergvik skog väst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7761-2026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46259</v>
      </c>
      <c r="F651" t="inlineStr">
        <is>
          <t>HALLANDS LÄN</t>
        </is>
      </c>
      <c r="G651" t="inlineStr">
        <is>
          <t>HYLTE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46947-2022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46259</v>
      </c>
      <c r="F652" t="inlineStr">
        <is>
          <t>HALLANDS LÄN</t>
        </is>
      </c>
      <c r="G652" t="inlineStr">
        <is>
          <t>HYLTE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23752-2025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45793</v>
      </c>
      <c r="E653" s="1" t="n">
        <v>46259</v>
      </c>
      <c r="F653" t="inlineStr">
        <is>
          <t>HALLANDS LÄN</t>
        </is>
      </c>
      <c r="G653" t="inlineStr">
        <is>
          <t>HYLTE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7753-2026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46259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46064</v>
      </c>
      <c r="E655" s="1" t="n">
        <v>46259</v>
      </c>
      <c r="F655" t="inlineStr">
        <is>
          <t>HALLANDS LÄN</t>
        </is>
      </c>
      <c r="G655" t="inlineStr">
        <is>
          <t>HYLTE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46259</v>
      </c>
      <c r="F656" t="inlineStr">
        <is>
          <t>HALLANDS LÄN</t>
        </is>
      </c>
      <c r="G656" t="inlineStr">
        <is>
          <t>HYLTE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46070</v>
      </c>
      <c r="E657" s="1" t="n">
        <v>46259</v>
      </c>
      <c r="F657" t="inlineStr">
        <is>
          <t>HALLANDS LÄN</t>
        </is>
      </c>
      <c r="G657" t="inlineStr">
        <is>
          <t>HYLTE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46259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46084</v>
      </c>
      <c r="E659" s="1" t="n">
        <v>46259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11785-2026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46259</v>
      </c>
      <c r="F660" t="inlineStr">
        <is>
          <t>HALLANDS LÄN</t>
        </is>
      </c>
      <c r="G660" t="inlineStr">
        <is>
          <t>HYLTE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12269-2026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46087</v>
      </c>
      <c r="E661" s="1" t="n">
        <v>46259</v>
      </c>
      <c r="F661" t="inlineStr">
        <is>
          <t>HALLANDS LÄN</t>
        </is>
      </c>
      <c r="G661" t="inlineStr">
        <is>
          <t>HYLTE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13060-2026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46259</v>
      </c>
      <c r="F662" t="inlineStr">
        <is>
          <t>HALLANDS LÄN</t>
        </is>
      </c>
      <c r="G662" t="inlineStr">
        <is>
          <t>HYLTE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46259</v>
      </c>
      <c r="F663" t="inlineStr">
        <is>
          <t>HALLANDS LÄN</t>
        </is>
      </c>
      <c r="G663" t="inlineStr">
        <is>
          <t>HYLTE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13062-2026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46259</v>
      </c>
      <c r="F664" t="inlineStr">
        <is>
          <t>HALLANDS LÄN</t>
        </is>
      </c>
      <c r="G664" t="inlineStr">
        <is>
          <t>HYLTE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46259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46259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46259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46259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46259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46259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46259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46259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46259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46259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46259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46259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46259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46259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46259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46259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46259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46259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46259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46259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46259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46259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46259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46259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46259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46259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46259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46259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46259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46259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2026-08-25T01:54:00Z</dcterms:created>
  <dcterms:modified xmlns:dcterms="http://purl.org/dc/terms/" xmlns:xsi="http://www.w3.org/2001/XMLSchema-instance" xsi:type="dcterms:W3CDTF">2026-08-25T01:54:01Z</dcterms:modified>
</cp:coreProperties>
</file>